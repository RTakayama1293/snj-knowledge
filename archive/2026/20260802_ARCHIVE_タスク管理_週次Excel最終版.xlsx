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jsosa\Documents\data\processed-handmade\"/>
    </mc:Choice>
  </mc:AlternateContent>
  <xr:revisionPtr revIDLastSave="0" documentId="13_ncr:1_{1AF8F6DF-9C6C-450B-AA83-C217F7D1F2A1}" xr6:coauthVersionLast="47" xr6:coauthVersionMax="47" xr10:uidLastSave="{00000000-0000-0000-0000-000000000000}"/>
  <bookViews>
    <workbookView xWindow="-108" yWindow="-108" windowWidth="23256" windowHeight="13896" xr2:uid="{9E71A17D-F760-44B6-B9CD-25020D485287}"/>
  </bookViews>
  <sheets>
    <sheet name="26-07-27" sheetId="23" r:id="rId1"/>
    <sheet name="26-07-20" sheetId="22" r:id="rId2"/>
    <sheet name="26-07-13" sheetId="21" r:id="rId3"/>
    <sheet name="26-07-06" sheetId="20" r:id="rId4"/>
    <sheet name="26-07-01" sheetId="19" r:id="rId5"/>
    <sheet name="26-06-22" sheetId="18" r:id="rId6"/>
    <sheet name="26-06-08" sheetId="17" r:id="rId7"/>
    <sheet name="26-06-01" sheetId="16" r:id="rId8"/>
    <sheet name="26-05-25" sheetId="15" r:id="rId9"/>
    <sheet name="26-05-11" sheetId="14" r:id="rId10"/>
    <sheet name="26-04-14" sheetId="13" r:id="rId11"/>
    <sheet name="26-04-06" sheetId="12" r:id="rId12"/>
    <sheet name="26-03-30" sheetId="11" r:id="rId13"/>
    <sheet name="26-03-23" sheetId="10" r:id="rId14"/>
    <sheet name="26-03-16" sheetId="9" r:id="rId15"/>
    <sheet name="26-03-04" sheetId="8" r:id="rId16"/>
    <sheet name="26-01-13" sheetId="7" r:id="rId17"/>
    <sheet name="26-01-05" sheetId="6" r:id="rId18"/>
    <sheet name="25-12-15" sheetId="5" r:id="rId19"/>
    <sheet name="25-12-08" sheetId="4" r:id="rId20"/>
    <sheet name="25-12-01" sheetId="3" r:id="rId21"/>
    <sheet name="25-11-25" sheetId="2" r:id="rId22"/>
    <sheet name="25-11-14" sheetId="1" r:id="rId23"/>
  </sheets>
  <definedNames>
    <definedName name="_xlnm._FilterDatabase" localSheetId="22" hidden="1">'25-11-14'!$A$2:$G$37</definedName>
    <definedName name="_xlnm._FilterDatabase" localSheetId="21" hidden="1">'25-11-25'!$A$2:$G$37</definedName>
    <definedName name="_xlnm._FilterDatabase" localSheetId="20" hidden="1">'25-12-01'!$A$2:$G$37</definedName>
    <definedName name="_xlnm._FilterDatabase" localSheetId="19" hidden="1">'25-12-08'!$A$2:$G$37</definedName>
    <definedName name="_xlnm._FilterDatabase" localSheetId="18" hidden="1">'25-12-15'!$A$2:$G$37</definedName>
    <definedName name="_xlnm._FilterDatabase" localSheetId="17" hidden="1">'26-01-05'!$A$2:$G$36</definedName>
    <definedName name="_xlnm._FilterDatabase" localSheetId="16" hidden="1">'26-01-13'!$A$2:$G$36</definedName>
    <definedName name="_xlnm._FilterDatabase" localSheetId="15" hidden="1">'26-03-04'!$E$2:$H$2</definedName>
    <definedName name="_xlnm._FilterDatabase" localSheetId="13" hidden="1">'26-03-23'!$A$4:$G$37</definedName>
    <definedName name="_xlnm._FilterDatabase" localSheetId="12" hidden="1">'26-03-30'!$A$4:$G$48</definedName>
    <definedName name="_xlnm._FilterDatabase" localSheetId="11" hidden="1">'26-04-06'!$A$4:$G$48</definedName>
    <definedName name="_xlnm._FilterDatabase" localSheetId="10" hidden="1">'26-04-14'!$A$4:$G$49</definedName>
    <definedName name="_xlnm._FilterDatabase" localSheetId="9" hidden="1">'26-05-11'!$A$4:$G$49</definedName>
    <definedName name="_xlnm._FilterDatabase" localSheetId="8" hidden="1">'26-05-25'!$A$4:$G$49</definedName>
    <definedName name="_xlnm._FilterDatabase" localSheetId="7" hidden="1">'26-06-01'!$A$4:$G$49</definedName>
    <definedName name="_xlnm._FilterDatabase" localSheetId="6" hidden="1">'26-06-08'!$A$4:$G$49</definedName>
    <definedName name="_xlnm._FilterDatabase" localSheetId="5" hidden="1">'26-06-22'!$A$4:$G$49</definedName>
    <definedName name="_xlnm._FilterDatabase" localSheetId="4" hidden="1">'26-07-01'!$A$4:$G$49</definedName>
    <definedName name="_xlnm._FilterDatabase" localSheetId="3" hidden="1">'26-07-06'!$A$4:$G$49</definedName>
    <definedName name="_xlnm._FilterDatabase" localSheetId="2" hidden="1">'26-07-13'!$A$4:$G$49</definedName>
    <definedName name="_xlnm._FilterDatabase" localSheetId="1" hidden="1">'26-07-20'!$A$4:$G$49</definedName>
    <definedName name="_xlnm._FilterDatabase" localSheetId="0" hidden="1">'26-07-27'!$A$4:$G$49</definedName>
    <definedName name="_xlnm.Print_Area" localSheetId="22">'25-11-14'!$A$1:$G$42</definedName>
    <definedName name="_xlnm.Print_Area" localSheetId="21">'25-11-25'!$A$1:$G$42</definedName>
    <definedName name="_xlnm.Print_Area" localSheetId="20">'25-12-01'!$A$1:$G$42</definedName>
    <definedName name="_xlnm.Print_Area" localSheetId="19">'25-12-08'!$A$1:$G$42</definedName>
    <definedName name="_xlnm.Print_Area" localSheetId="18">'25-12-15'!$A$1:$G$42</definedName>
    <definedName name="_xlnm.Print_Area" localSheetId="17">'26-01-05'!$A$1:$H$36</definedName>
    <definedName name="_xlnm.Print_Area" localSheetId="16">'26-01-13'!$A$1:$H$39</definedName>
    <definedName name="_xlnm.Print_Area" localSheetId="15">'26-03-04'!$A$1:$H$51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5" i="23" l="1"/>
  <c r="E55" i="23"/>
  <c r="D55" i="23"/>
  <c r="F54" i="23"/>
  <c r="E54" i="23"/>
  <c r="D54" i="23"/>
  <c r="F53" i="23"/>
  <c r="E53" i="23"/>
  <c r="D53" i="23"/>
  <c r="C49" i="23"/>
  <c r="A48" i="23"/>
  <c r="A47" i="23"/>
  <c r="A46" i="23"/>
  <c r="A45" i="23"/>
  <c r="A44" i="23"/>
  <c r="A43" i="23"/>
  <c r="A42" i="23"/>
  <c r="A6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5" i="23"/>
  <c r="A15" i="23"/>
  <c r="A14" i="23"/>
  <c r="A13" i="23"/>
  <c r="A12" i="23"/>
  <c r="A11" i="23"/>
  <c r="A10" i="23"/>
  <c r="A9" i="23"/>
  <c r="A8" i="23"/>
  <c r="A7" i="23"/>
  <c r="G1" i="23" a="1"/>
  <c r="G1" i="23" s="1"/>
  <c r="F55" i="22"/>
  <c r="E55" i="22"/>
  <c r="D55" i="22"/>
  <c r="F54" i="22"/>
  <c r="E54" i="22"/>
  <c r="D54" i="22"/>
  <c r="F53" i="22"/>
  <c r="E53" i="22"/>
  <c r="D53" i="22"/>
  <c r="C49" i="22"/>
  <c r="A48" i="22"/>
  <c r="A47" i="22"/>
  <c r="A46" i="22"/>
  <c r="A45" i="22"/>
  <c r="A44" i="22"/>
  <c r="A43" i="22"/>
  <c r="A42" i="22"/>
  <c r="A6" i="22"/>
  <c r="A5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G1" i="22" a="1"/>
  <c r="G1" i="22" s="1"/>
  <c r="G55" i="23" l="1"/>
  <c r="E56" i="23"/>
  <c r="G54" i="23"/>
  <c r="D56" i="23"/>
  <c r="F56" i="23"/>
  <c r="G53" i="23"/>
  <c r="G56" i="23" s="1"/>
  <c r="G54" i="22"/>
  <c r="G55" i="22"/>
  <c r="D56" i="22"/>
  <c r="E56" i="22"/>
  <c r="F56" i="22"/>
  <c r="G53" i="22"/>
  <c r="G56" i="22" s="1"/>
  <c r="F55" i="21" l="1"/>
  <c r="E55" i="21"/>
  <c r="D55" i="21"/>
  <c r="G55" i="21" s="1"/>
  <c r="F54" i="21"/>
  <c r="E54" i="21"/>
  <c r="D54" i="21"/>
  <c r="F53" i="21"/>
  <c r="E53" i="21"/>
  <c r="D53" i="21"/>
  <c r="C49" i="21"/>
  <c r="A48" i="21"/>
  <c r="A47" i="21"/>
  <c r="A46" i="21"/>
  <c r="A45" i="21"/>
  <c r="A44" i="21"/>
  <c r="A43" i="21"/>
  <c r="A42" i="21"/>
  <c r="A41" i="21"/>
  <c r="A40" i="21"/>
  <c r="A6" i="21"/>
  <c r="A7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5" i="21"/>
  <c r="A11" i="21"/>
  <c r="A10" i="21"/>
  <c r="A8" i="21"/>
  <c r="A9" i="21"/>
  <c r="G1" i="21" a="1"/>
  <c r="G1" i="21" s="1"/>
  <c r="F55" i="20"/>
  <c r="E55" i="20"/>
  <c r="D55" i="20"/>
  <c r="F54" i="20"/>
  <c r="E54" i="20"/>
  <c r="D54" i="20"/>
  <c r="F53" i="20"/>
  <c r="E53" i="20"/>
  <c r="D53" i="20"/>
  <c r="C49" i="20"/>
  <c r="A48" i="20"/>
  <c r="A47" i="20"/>
  <c r="A46" i="20"/>
  <c r="A45" i="20"/>
  <c r="A14" i="20"/>
  <c r="A44" i="20"/>
  <c r="A43" i="20"/>
  <c r="A42" i="20"/>
  <c r="A41" i="20"/>
  <c r="A36" i="20"/>
  <c r="A35" i="20"/>
  <c r="A34" i="20"/>
  <c r="A33" i="20"/>
  <c r="A32" i="20"/>
  <c r="A5" i="20"/>
  <c r="A40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3" i="20"/>
  <c r="A12" i="20"/>
  <c r="A6" i="20"/>
  <c r="A39" i="20"/>
  <c r="A11" i="20"/>
  <c r="A10" i="20"/>
  <c r="A38" i="20"/>
  <c r="A37" i="20"/>
  <c r="A9" i="20"/>
  <c r="A8" i="20"/>
  <c r="A7" i="20"/>
  <c r="G1" i="20" a="1"/>
  <c r="G1" i="20" s="1"/>
  <c r="F55" i="19"/>
  <c r="E55" i="19"/>
  <c r="D55" i="19"/>
  <c r="F54" i="19"/>
  <c r="E54" i="19"/>
  <c r="D54" i="19"/>
  <c r="F53" i="19"/>
  <c r="E53" i="19"/>
  <c r="D53" i="19"/>
  <c r="C49" i="19"/>
  <c r="A48" i="19"/>
  <c r="A47" i="19"/>
  <c r="A46" i="19"/>
  <c r="A45" i="19"/>
  <c r="A44" i="19"/>
  <c r="A43" i="19"/>
  <c r="A42" i="19"/>
  <c r="A6" i="19"/>
  <c r="A5" i="19"/>
  <c r="A39" i="19"/>
  <c r="A38" i="19"/>
  <c r="A37" i="19"/>
  <c r="A36" i="19"/>
  <c r="A35" i="19"/>
  <c r="A34" i="19"/>
  <c r="A33" i="19"/>
  <c r="A32" i="19"/>
  <c r="A19" i="19"/>
  <c r="A20" i="19"/>
  <c r="A31" i="19"/>
  <c r="A30" i="19"/>
  <c r="A29" i="19"/>
  <c r="A28" i="19"/>
  <c r="A27" i="19"/>
  <c r="A26" i="19"/>
  <c r="A25" i="19"/>
  <c r="A24" i="19"/>
  <c r="A23" i="19"/>
  <c r="A22" i="19"/>
  <c r="A21" i="19"/>
  <c r="A18" i="19"/>
  <c r="A17" i="19"/>
  <c r="A16" i="19"/>
  <c r="A41" i="19"/>
  <c r="A15" i="19"/>
  <c r="A14" i="19"/>
  <c r="A13" i="19"/>
  <c r="A12" i="19"/>
  <c r="A11" i="19"/>
  <c r="A10" i="19"/>
  <c r="A9" i="19"/>
  <c r="A40" i="19"/>
  <c r="A8" i="19"/>
  <c r="A7" i="19"/>
  <c r="G1" i="19" a="1"/>
  <c r="G1" i="19" s="1"/>
  <c r="F55" i="18"/>
  <c r="E55" i="18"/>
  <c r="D55" i="18"/>
  <c r="F54" i="18"/>
  <c r="E54" i="18"/>
  <c r="D54" i="18"/>
  <c r="F53" i="18"/>
  <c r="E53" i="18"/>
  <c r="D53" i="18"/>
  <c r="C49" i="18"/>
  <c r="A48" i="18"/>
  <c r="A47" i="18"/>
  <c r="A46" i="18"/>
  <c r="A45" i="18"/>
  <c r="A44" i="18"/>
  <c r="A30" i="18"/>
  <c r="A39" i="18"/>
  <c r="A38" i="18"/>
  <c r="A37" i="18"/>
  <c r="A36" i="18"/>
  <c r="A35" i="18"/>
  <c r="A34" i="18"/>
  <c r="A33" i="18"/>
  <c r="A32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43" i="18"/>
  <c r="A14" i="18"/>
  <c r="A42" i="18"/>
  <c r="A41" i="18"/>
  <c r="A13" i="18"/>
  <c r="A12" i="18"/>
  <c r="A7" i="18"/>
  <c r="A40" i="18"/>
  <c r="A11" i="18"/>
  <c r="A15" i="18"/>
  <c r="A10" i="18"/>
  <c r="A9" i="18"/>
  <c r="A31" i="18"/>
  <c r="A8" i="18"/>
  <c r="A6" i="18"/>
  <c r="A5" i="18"/>
  <c r="G1" i="18" a="1"/>
  <c r="G1" i="18" s="1"/>
  <c r="F55" i="17"/>
  <c r="E55" i="17"/>
  <c r="D55" i="17"/>
  <c r="G55" i="17" s="1"/>
  <c r="F54" i="17"/>
  <c r="E54" i="17"/>
  <c r="D54" i="17"/>
  <c r="G54" i="17" s="1"/>
  <c r="F53" i="17"/>
  <c r="F56" i="17" s="1"/>
  <c r="E53" i="17"/>
  <c r="E56" i="17" s="1"/>
  <c r="D53" i="17"/>
  <c r="D56" i="17" s="1"/>
  <c r="C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G1" i="17" a="1"/>
  <c r="G1" i="17" s="1"/>
  <c r="F55" i="16"/>
  <c r="E55" i="16"/>
  <c r="D55" i="16"/>
  <c r="F54" i="16"/>
  <c r="E54" i="16"/>
  <c r="D54" i="16"/>
  <c r="F53" i="16"/>
  <c r="E53" i="16"/>
  <c r="D53" i="16"/>
  <c r="C49" i="16"/>
  <c r="A48" i="16"/>
  <c r="A47" i="16"/>
  <c r="A46" i="16"/>
  <c r="A45" i="16"/>
  <c r="A44" i="16"/>
  <c r="A24" i="16"/>
  <c r="A9" i="16"/>
  <c r="A8" i="16"/>
  <c r="A7" i="16"/>
  <c r="A20" i="16"/>
  <c r="A6" i="16"/>
  <c r="A10" i="16"/>
  <c r="A5" i="16"/>
  <c r="A41" i="16"/>
  <c r="A42" i="16"/>
  <c r="A38" i="16"/>
  <c r="A39" i="16"/>
  <c r="A40" i="16"/>
  <c r="A35" i="16"/>
  <c r="A36" i="16"/>
  <c r="A37" i="16"/>
  <c r="A25" i="16"/>
  <c r="A26" i="16"/>
  <c r="A27" i="16"/>
  <c r="A29" i="16"/>
  <c r="A28" i="16"/>
  <c r="A33" i="16"/>
  <c r="A32" i="16"/>
  <c r="A31" i="16"/>
  <c r="A30" i="16"/>
  <c r="A34" i="16"/>
  <c r="A22" i="16"/>
  <c r="A23" i="16"/>
  <c r="A43" i="16"/>
  <c r="A21" i="16"/>
  <c r="A11" i="16"/>
  <c r="A12" i="16"/>
  <c r="A14" i="16"/>
  <c r="A13" i="16"/>
  <c r="A16" i="16"/>
  <c r="A15" i="16"/>
  <c r="A18" i="16"/>
  <c r="A17" i="16"/>
  <c r="A19" i="16"/>
  <c r="G1" i="16" a="1"/>
  <c r="G1" i="16" s="1"/>
  <c r="F55" i="15"/>
  <c r="E55" i="15"/>
  <c r="D55" i="15"/>
  <c r="F54" i="15"/>
  <c r="E54" i="15"/>
  <c r="D54" i="15"/>
  <c r="F53" i="15"/>
  <c r="E53" i="15"/>
  <c r="D53" i="15"/>
  <c r="C49" i="15"/>
  <c r="A48" i="15"/>
  <c r="A47" i="15"/>
  <c r="A46" i="15"/>
  <c r="A45" i="15"/>
  <c r="A44" i="15"/>
  <c r="A43" i="15"/>
  <c r="A42" i="15"/>
  <c r="A41" i="15"/>
  <c r="A40" i="15"/>
  <c r="A39" i="15"/>
  <c r="A11" i="15"/>
  <c r="A10" i="15"/>
  <c r="A13" i="15"/>
  <c r="A34" i="15"/>
  <c r="A35" i="15"/>
  <c r="A31" i="15"/>
  <c r="A32" i="15"/>
  <c r="A33" i="15"/>
  <c r="A28" i="15"/>
  <c r="A29" i="15"/>
  <c r="A30" i="15"/>
  <c r="A18" i="15"/>
  <c r="A22" i="15"/>
  <c r="A21" i="15"/>
  <c r="A20" i="15"/>
  <c r="A19" i="15"/>
  <c r="A24" i="15"/>
  <c r="A23" i="15"/>
  <c r="A25" i="15"/>
  <c r="A26" i="15"/>
  <c r="A7" i="15"/>
  <c r="A6" i="15"/>
  <c r="A27" i="15"/>
  <c r="A9" i="15"/>
  <c r="A16" i="15"/>
  <c r="A17" i="15"/>
  <c r="A38" i="15"/>
  <c r="A14" i="15"/>
  <c r="A15" i="15"/>
  <c r="A5" i="15"/>
  <c r="A37" i="15"/>
  <c r="A8" i="15"/>
  <c r="A12" i="15"/>
  <c r="A36" i="15"/>
  <c r="G1" i="15" a="1"/>
  <c r="G1" i="15" s="1"/>
  <c r="G1" i="14" a="1"/>
  <c r="G1" i="14" s="1"/>
  <c r="A19" i="14"/>
  <c r="A22" i="13"/>
  <c r="G53" i="21" l="1"/>
  <c r="D56" i="21"/>
  <c r="G54" i="21"/>
  <c r="G56" i="21" s="1"/>
  <c r="E56" i="21"/>
  <c r="F56" i="21"/>
  <c r="G54" i="20"/>
  <c r="D56" i="20"/>
  <c r="E56" i="20"/>
  <c r="F56" i="20"/>
  <c r="G55" i="20"/>
  <c r="G53" i="20"/>
  <c r="F56" i="19"/>
  <c r="G55" i="19"/>
  <c r="G54" i="19"/>
  <c r="E56" i="19"/>
  <c r="D56" i="19"/>
  <c r="G53" i="19"/>
  <c r="G56" i="19" s="1"/>
  <c r="E56" i="18"/>
  <c r="F56" i="18"/>
  <c r="D56" i="18"/>
  <c r="G54" i="18"/>
  <c r="G55" i="18"/>
  <c r="G53" i="18"/>
  <c r="G53" i="17"/>
  <c r="G56" i="17" s="1"/>
  <c r="G55" i="16"/>
  <c r="D56" i="16"/>
  <c r="E56" i="16"/>
  <c r="F56" i="16"/>
  <c r="G54" i="16"/>
  <c r="G53" i="16"/>
  <c r="E56" i="15"/>
  <c r="G54" i="15"/>
  <c r="F56" i="15"/>
  <c r="G55" i="15"/>
  <c r="G53" i="15"/>
  <c r="D56" i="15"/>
  <c r="F55" i="14"/>
  <c r="E55" i="14"/>
  <c r="D55" i="14"/>
  <c r="F54" i="14"/>
  <c r="E54" i="14"/>
  <c r="D54" i="14"/>
  <c r="F53" i="14"/>
  <c r="E53" i="14"/>
  <c r="D53" i="14"/>
  <c r="C49" i="14"/>
  <c r="A48" i="14"/>
  <c r="A47" i="14"/>
  <c r="A46" i="14"/>
  <c r="A45" i="14"/>
  <c r="A44" i="14"/>
  <c r="A29" i="14"/>
  <c r="A28" i="14"/>
  <c r="A35" i="14"/>
  <c r="A34" i="14"/>
  <c r="A38" i="14"/>
  <c r="A33" i="14"/>
  <c r="A32" i="14"/>
  <c r="A31" i="14"/>
  <c r="A43" i="14"/>
  <c r="A30" i="14"/>
  <c r="A42" i="14"/>
  <c r="A27" i="14"/>
  <c r="A26" i="14"/>
  <c r="A25" i="14"/>
  <c r="A24" i="14"/>
  <c r="A23" i="14"/>
  <c r="A41" i="14"/>
  <c r="A22" i="14"/>
  <c r="A21" i="14"/>
  <c r="A20" i="14"/>
  <c r="A37" i="14"/>
  <c r="A36" i="14"/>
  <c r="A13" i="14"/>
  <c r="A40" i="14"/>
  <c r="A12" i="14"/>
  <c r="A14" i="14"/>
  <c r="A10" i="14"/>
  <c r="A11" i="14"/>
  <c r="A39" i="14"/>
  <c r="A18" i="14"/>
  <c r="A17" i="14"/>
  <c r="A7" i="14"/>
  <c r="A9" i="14"/>
  <c r="A15" i="14"/>
  <c r="A8" i="14"/>
  <c r="A6" i="14"/>
  <c r="A5" i="14"/>
  <c r="A16" i="14"/>
  <c r="F55" i="13"/>
  <c r="E55" i="13"/>
  <c r="D55" i="13"/>
  <c r="F54" i="13"/>
  <c r="E54" i="13"/>
  <c r="D54" i="13"/>
  <c r="F53" i="13"/>
  <c r="E53" i="13"/>
  <c r="D53" i="13"/>
  <c r="C49" i="13"/>
  <c r="A48" i="13"/>
  <c r="A47" i="13"/>
  <c r="A46" i="13"/>
  <c r="A45" i="13"/>
  <c r="A44" i="13"/>
  <c r="A43" i="13"/>
  <c r="A41" i="13"/>
  <c r="A39" i="13"/>
  <c r="A40" i="13"/>
  <c r="A37" i="13"/>
  <c r="A38" i="13"/>
  <c r="A36" i="13"/>
  <c r="A35" i="13"/>
  <c r="A33" i="13"/>
  <c r="A34" i="13"/>
  <c r="A31" i="13"/>
  <c r="A32" i="13"/>
  <c r="A24" i="13"/>
  <c r="A30" i="13"/>
  <c r="A29" i="13"/>
  <c r="A26" i="13"/>
  <c r="A25" i="13"/>
  <c r="A27" i="13"/>
  <c r="A28" i="13"/>
  <c r="A23" i="13"/>
  <c r="A20" i="13"/>
  <c r="A17" i="13"/>
  <c r="A19" i="13"/>
  <c r="A18" i="13"/>
  <c r="A15" i="13"/>
  <c r="A16" i="13"/>
  <c r="A14" i="13"/>
  <c r="A9" i="13"/>
  <c r="A8" i="13"/>
  <c r="A21" i="13"/>
  <c r="A7" i="13"/>
  <c r="A6" i="13"/>
  <c r="A5" i="13"/>
  <c r="A10" i="13"/>
  <c r="A13" i="13"/>
  <c r="A12" i="13"/>
  <c r="A11" i="13"/>
  <c r="A42" i="13"/>
  <c r="F54" i="12"/>
  <c r="E54" i="12"/>
  <c r="D54" i="12"/>
  <c r="F53" i="12"/>
  <c r="E53" i="12"/>
  <c r="D53" i="12"/>
  <c r="F52" i="12"/>
  <c r="E52" i="12"/>
  <c r="D52" i="12"/>
  <c r="C48" i="12"/>
  <c r="A47" i="12"/>
  <c r="A46" i="12"/>
  <c r="A45" i="12"/>
  <c r="A44" i="12"/>
  <c r="A33" i="12"/>
  <c r="A32" i="12"/>
  <c r="A39" i="12"/>
  <c r="A38" i="12"/>
  <c r="A37" i="12"/>
  <c r="A36" i="12"/>
  <c r="A35" i="12"/>
  <c r="A27" i="12"/>
  <c r="A26" i="12"/>
  <c r="A34" i="12"/>
  <c r="A31" i="12"/>
  <c r="A30" i="12"/>
  <c r="A29" i="12"/>
  <c r="A28" i="12"/>
  <c r="A14" i="12"/>
  <c r="A43" i="12"/>
  <c r="A25" i="12"/>
  <c r="A42" i="12"/>
  <c r="A24" i="12"/>
  <c r="A23" i="12"/>
  <c r="A13" i="12"/>
  <c r="A41" i="12"/>
  <c r="A22" i="12"/>
  <c r="A21" i="12"/>
  <c r="A20" i="12"/>
  <c r="A19" i="12"/>
  <c r="A17" i="12"/>
  <c r="A16" i="12"/>
  <c r="A15" i="12"/>
  <c r="A12" i="12"/>
  <c r="A11" i="12"/>
  <c r="A10" i="12"/>
  <c r="A9" i="12"/>
  <c r="A18" i="12"/>
  <c r="A8" i="12"/>
  <c r="A7" i="12"/>
  <c r="A6" i="12"/>
  <c r="A40" i="12"/>
  <c r="A5" i="12"/>
  <c r="A18" i="11"/>
  <c r="A6" i="11"/>
  <c r="A7" i="11"/>
  <c r="A8" i="11"/>
  <c r="A9" i="11"/>
  <c r="A10" i="11"/>
  <c r="A11" i="11"/>
  <c r="A12" i="11"/>
  <c r="A13" i="11"/>
  <c r="A14" i="11"/>
  <c r="A17" i="11"/>
  <c r="A19" i="11"/>
  <c r="A20" i="11"/>
  <c r="A21" i="11"/>
  <c r="A22" i="11"/>
  <c r="A23" i="11"/>
  <c r="A24" i="11"/>
  <c r="A25" i="11"/>
  <c r="A26" i="11"/>
  <c r="A27" i="11"/>
  <c r="A28" i="11"/>
  <c r="A29" i="11"/>
  <c r="A15" i="11"/>
  <c r="A16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5" i="11"/>
  <c r="A46" i="11"/>
  <c r="G56" i="20" l="1"/>
  <c r="G56" i="18"/>
  <c r="G56" i="16"/>
  <c r="G56" i="15"/>
  <c r="G55" i="14"/>
  <c r="D56" i="14"/>
  <c r="E56" i="14"/>
  <c r="F56" i="14"/>
  <c r="G54" i="14"/>
  <c r="G53" i="14"/>
  <c r="G55" i="13"/>
  <c r="F56" i="13"/>
  <c r="G54" i="13"/>
  <c r="E56" i="13"/>
  <c r="G53" i="13"/>
  <c r="D56" i="13"/>
  <c r="G53" i="12"/>
  <c r="G54" i="12"/>
  <c r="F55" i="12"/>
  <c r="E55" i="12"/>
  <c r="D55" i="12"/>
  <c r="G52" i="12"/>
  <c r="F54" i="11"/>
  <c r="E54" i="11"/>
  <c r="D54" i="11"/>
  <c r="F53" i="11"/>
  <c r="E53" i="11"/>
  <c r="D53" i="11"/>
  <c r="F52" i="11"/>
  <c r="E52" i="11"/>
  <c r="D52" i="11"/>
  <c r="C48" i="11"/>
  <c r="A47" i="11"/>
  <c r="A5" i="11"/>
  <c r="A44" i="11"/>
  <c r="F43" i="10"/>
  <c r="F42" i="10"/>
  <c r="F41" i="10"/>
  <c r="E43" i="10"/>
  <c r="E42" i="10"/>
  <c r="E41" i="10"/>
  <c r="D43" i="10"/>
  <c r="D42" i="10"/>
  <c r="D41" i="10"/>
  <c r="A32" i="10"/>
  <c r="A35" i="10"/>
  <c r="A34" i="10"/>
  <c r="A33" i="10"/>
  <c r="A31" i="10"/>
  <c r="A30" i="10"/>
  <c r="A29" i="10"/>
  <c r="A28" i="10"/>
  <c r="A27" i="10"/>
  <c r="A26" i="10"/>
  <c r="A22" i="10"/>
  <c r="A25" i="10"/>
  <c r="A24" i="10"/>
  <c r="A10" i="10"/>
  <c r="A21" i="10"/>
  <c r="A20" i="10"/>
  <c r="A19" i="10"/>
  <c r="A18" i="10"/>
  <c r="A17" i="10"/>
  <c r="A36" i="10"/>
  <c r="A16" i="10"/>
  <c r="A15" i="10"/>
  <c r="A11" i="10"/>
  <c r="A9" i="10"/>
  <c r="A8" i="10"/>
  <c r="A13" i="10"/>
  <c r="A7" i="10"/>
  <c r="A12" i="10"/>
  <c r="A14" i="10"/>
  <c r="A6" i="10"/>
  <c r="A23" i="10"/>
  <c r="A5" i="10"/>
  <c r="C37" i="10"/>
  <c r="C37" i="9"/>
  <c r="G56" i="14" l="1"/>
  <c r="G56" i="13"/>
  <c r="G55" i="12"/>
  <c r="D55" i="11"/>
  <c r="E55" i="11"/>
  <c r="G53" i="11"/>
  <c r="F55" i="11"/>
  <c r="G54" i="11"/>
  <c r="G52" i="11"/>
  <c r="G43" i="10"/>
  <c r="E44" i="10"/>
  <c r="G42" i="10"/>
  <c r="F44" i="10"/>
  <c r="D44" i="10"/>
  <c r="G41" i="10"/>
  <c r="G55" i="11" l="1"/>
  <c r="G4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<sst xmlns="http://schemas.openxmlformats.org/spreadsheetml/2006/main" count="2768" uniqueCount="272">
  <si>
    <t>日付</t>
  </si>
  <si>
    <t>曜日</t>
  </si>
  <si>
    <t>開始</t>
  </si>
  <si>
    <t>終了</t>
  </si>
  <si>
    <t>タスク</t>
  </si>
  <si>
    <t>所要時間</t>
  </si>
  <si>
    <t>月</t>
  </si>
  <si>
    <t>火</t>
  </si>
  <si>
    <t>水</t>
  </si>
  <si>
    <t>木</t>
  </si>
  <si>
    <t>金</t>
  </si>
  <si>
    <t>各百貨店・各店舗に入っている生鮮・食料品テナント</t>
  </si>
  <si>
    <t>社内タスクのガントチャート化</t>
  </si>
  <si>
    <t>第三の鮮度保持技術「ZEROCO」</t>
  </si>
  <si>
    <t>値段以上の価値があるマイナーなカニ</t>
  </si>
  <si>
    <t>北海道で栽培されている日本茶</t>
  </si>
  <si>
    <t>落石漁協シンガポールウニ輸出の現地日本人スタッフの必要性</t>
  </si>
  <si>
    <t>ニセコビュープラザで電話番号を隠す生産者のビジネスチャンス</t>
  </si>
  <si>
    <t>高級ペットフードのメーカーと小売店と卸売業者</t>
  </si>
  <si>
    <t>温暖化による、北海道のワイナリーの変遷と特徴</t>
  </si>
  <si>
    <t>海外日本食レストランへの卸売業者</t>
  </si>
  <si>
    <t>日本or北海道ブランドの牛乳、乳製品の小売店と卸売業者</t>
  </si>
  <si>
    <t>「北海道」のブランド力。対抗しうる地域ブランド</t>
  </si>
  <si>
    <t>id</t>
    <phoneticPr fontId="1"/>
  </si>
  <si>
    <t>海外展示会のJETROブースに相乗りするためには?</t>
  </si>
  <si>
    <t>「ストーリー」とは何か?定義は?</t>
  </si>
  <si>
    <t>案件リスト更新</t>
  </si>
  <si>
    <t>エゾシカソーセージ情報集約</t>
  </si>
  <si>
    <t>ターゲットリスト作成(ホロニック類似/SDGs系/ジビエ消費者)</t>
  </si>
  <si>
    <t>主要品目ダッシュボード(生産量予測)</t>
  </si>
  <si>
    <t>焼酎の市場規模と将来性</t>
  </si>
  <si>
    <t>牛を一頭買いできる卸売業者</t>
  </si>
  <si>
    <t>米国向け食材につき、トランプ関税分を価格に転嫁できる食材</t>
  </si>
  <si>
    <t>大七みたいに販売先を明記している店</t>
  </si>
  <si>
    <t>陸上養殖の事業性。安価システム(ひらやま陸上養殖システム)の実効性</t>
  </si>
  <si>
    <t>温暖化により、日本酒の酒蔵が北上している実例</t>
  </si>
  <si>
    <t>現代の北前船:「どこに」「(北海道の)何を」持っていったら喜ばれるか?可視化</t>
  </si>
  <si>
    <t>お茶の評価方法　旨味・甘味・渋みなどレーダーチャートにする</t>
  </si>
  <si>
    <t>展示会準備(試食系:モノの手配状況、オペレーション、練習@GGM、申請類確認)</t>
  </si>
  <si>
    <t>月次締め(請求・売上・仕入更新と伝票入力)</t>
    <phoneticPr fontId="1"/>
  </si>
  <si>
    <t>展示会準備（印刷物系_会社紹介資料、商品価格表、チラシなど）</t>
    <rPh sb="0" eb="3">
      <t>テンジカイ</t>
    </rPh>
    <rPh sb="3" eb="5">
      <t>ジュンビ</t>
    </rPh>
    <rPh sb="6" eb="9">
      <t>インサツブツ</t>
    </rPh>
    <rPh sb="9" eb="10">
      <t>ケイ</t>
    </rPh>
    <rPh sb="11" eb="17">
      <t>カイシャショウカイシリョウ</t>
    </rPh>
    <rPh sb="18" eb="23">
      <t>ショウヒンカカクヒョウ</t>
    </rPh>
    <phoneticPr fontId="1"/>
  </si>
  <si>
    <t>展示会準備(既存メール配信bySansanリスト)</t>
    <phoneticPr fontId="1"/>
  </si>
  <si>
    <t>買いまっせ大阪(大商商談会)</t>
    <rPh sb="10" eb="13">
      <t>ショウダンカイ</t>
    </rPh>
    <phoneticPr fontId="1"/>
  </si>
  <si>
    <t>決済関連（EEZOの決済方法追加、小口客に対する事前決済サービスと基準づくり）</t>
    <rPh sb="0" eb="2">
      <t>ケッサイ</t>
    </rPh>
    <rPh sb="2" eb="4">
      <t>カンレン</t>
    </rPh>
    <rPh sb="10" eb="16">
      <t>ケッサイホウホウツイカ</t>
    </rPh>
    <rPh sb="17" eb="20">
      <t>コグチキャク</t>
    </rPh>
    <rPh sb="21" eb="22">
      <t>タイ</t>
    </rPh>
    <rPh sb="24" eb="26">
      <t>ジゼン</t>
    </rPh>
    <rPh sb="26" eb="28">
      <t>ケッサイ</t>
    </rPh>
    <rPh sb="33" eb="35">
      <t>キジュン</t>
    </rPh>
    <phoneticPr fontId="1"/>
  </si>
  <si>
    <t>インフォマートの活用余地を検討する</t>
    <rPh sb="8" eb="10">
      <t>カツヨウ</t>
    </rPh>
    <rPh sb="10" eb="12">
      <t>ヨチ</t>
    </rPh>
    <rPh sb="13" eb="15">
      <t>ケントウ</t>
    </rPh>
    <phoneticPr fontId="1"/>
  </si>
  <si>
    <t>商品マスタ・価格表項目と連動</t>
    <rPh sb="12" eb="14">
      <t>レンドウ</t>
    </rPh>
    <phoneticPr fontId="1"/>
  </si>
  <si>
    <t>EEZO(広告シミュレーション)</t>
    <rPh sb="5" eb="7">
      <t>コウコク</t>
    </rPh>
    <phoneticPr fontId="1"/>
  </si>
  <si>
    <t>堀田定例</t>
    <rPh sb="0" eb="4">
      <t>ホリタテイレイ</t>
    </rPh>
    <phoneticPr fontId="1"/>
  </si>
  <si>
    <t>展示会準備(マッチングシステムメール)</t>
    <phoneticPr fontId="1"/>
  </si>
  <si>
    <t>EEZO(お歳暮商品登録)</t>
    <phoneticPr fontId="1"/>
  </si>
  <si>
    <t>ターゲットリスト作成指示（ミシュラン）</t>
    <rPh sb="10" eb="12">
      <t>シジ</t>
    </rPh>
    <phoneticPr fontId="1"/>
  </si>
  <si>
    <t>大商商談会　方針説明</t>
    <rPh sb="0" eb="2">
      <t>ダイショウ</t>
    </rPh>
    <rPh sb="6" eb="8">
      <t>ホウシン</t>
    </rPh>
    <rPh sb="8" eb="10">
      <t>セツメイ</t>
    </rPh>
    <phoneticPr fontId="1"/>
  </si>
  <si>
    <t>商品マスタ更新</t>
    <rPh sb="5" eb="7">
      <t>コウシン</t>
    </rPh>
    <phoneticPr fontId="1"/>
  </si>
  <si>
    <t>大商フォローメール（コノミヤ・近商ストア・不二貿易・山陽・フェリシモ・ロイヤルホテル・G7）</t>
    <rPh sb="0" eb="2">
      <t>ダイショウ</t>
    </rPh>
    <rPh sb="15" eb="17">
      <t>キンショウ</t>
    </rPh>
    <rPh sb="21" eb="25">
      <t>フジボウエキ</t>
    </rPh>
    <rPh sb="26" eb="28">
      <t>サンヨウ</t>
    </rPh>
    <phoneticPr fontId="1"/>
  </si>
  <si>
    <t>EEZOオペレーション（購入者と送付先が異なる場合）</t>
    <rPh sb="12" eb="15">
      <t>コウニュウシャ</t>
    </rPh>
    <rPh sb="16" eb="19">
      <t>ソウフサキ</t>
    </rPh>
    <rPh sb="20" eb="21">
      <t>コト</t>
    </rPh>
    <rPh sb="23" eb="25">
      <t>バアイ</t>
    </rPh>
    <phoneticPr fontId="1"/>
  </si>
  <si>
    <t>展示会準備(マッチングシステム状況確認)</t>
    <rPh sb="15" eb="17">
      <t>ジョウキョウ</t>
    </rPh>
    <rPh sb="17" eb="19">
      <t>カクニン</t>
    </rPh>
    <phoneticPr fontId="1"/>
  </si>
  <si>
    <t>展示会準備(既存メール配信bySansanリスト・SNS告知)</t>
    <rPh sb="28" eb="30">
      <t>コクチ</t>
    </rPh>
    <phoneticPr fontId="1"/>
  </si>
  <si>
    <t>EEZO(お歳暮商品販売準備)</t>
    <rPh sb="10" eb="12">
      <t>ハンバイ</t>
    </rPh>
    <rPh sb="12" eb="14">
      <t>ジュンビ</t>
    </rPh>
    <phoneticPr fontId="1"/>
  </si>
  <si>
    <t>展示会準備(試食系:モノの手配状況、オペレーション、送付物/タイミング確認などロジ系)</t>
    <rPh sb="26" eb="28">
      <t>ソウフ</t>
    </rPh>
    <rPh sb="28" eb="29">
      <t>ブツ</t>
    </rPh>
    <rPh sb="35" eb="37">
      <t>カクニン</t>
    </rPh>
    <rPh sb="41" eb="42">
      <t>ケイ</t>
    </rPh>
    <phoneticPr fontId="1"/>
  </si>
  <si>
    <t>EEZO(広告配信準備。堀田打合せセット)</t>
    <rPh sb="5" eb="7">
      <t>コウコク</t>
    </rPh>
    <rPh sb="7" eb="9">
      <t>ハイシン</t>
    </rPh>
    <rPh sb="9" eb="11">
      <t>ジュンビ</t>
    </rPh>
    <rPh sb="12" eb="14">
      <t>ホリタ</t>
    </rPh>
    <rPh sb="14" eb="16">
      <t>ウチアワ</t>
    </rPh>
    <phoneticPr fontId="1"/>
  </si>
  <si>
    <t>商品マスタ更新(定期）</t>
    <rPh sb="5" eb="7">
      <t>コウシン</t>
    </rPh>
    <rPh sb="8" eb="10">
      <t>テイキ</t>
    </rPh>
    <phoneticPr fontId="1"/>
  </si>
  <si>
    <t>展示会準備(告知、スケジュール調整、商談証憑、ロジ系など　最終確認)</t>
    <rPh sb="6" eb="8">
      <t>コクチ</t>
    </rPh>
    <rPh sb="15" eb="17">
      <t>チョウセイ</t>
    </rPh>
    <rPh sb="18" eb="20">
      <t>ショウダン</t>
    </rPh>
    <rPh sb="20" eb="22">
      <t>ショウヒョウ</t>
    </rPh>
    <rPh sb="25" eb="26">
      <t>ケイ</t>
    </rPh>
    <rPh sb="29" eb="31">
      <t>サイシュウ</t>
    </rPh>
    <rPh sb="31" eb="33">
      <t>カクニン</t>
    </rPh>
    <phoneticPr fontId="1"/>
  </si>
  <si>
    <t>展示会データ管理（社数、金額、商品、ネクストアクションなど漏れなくする）</t>
    <rPh sb="6" eb="8">
      <t>カンリ</t>
    </rPh>
    <rPh sb="9" eb="10">
      <t>シャ</t>
    </rPh>
    <rPh sb="10" eb="11">
      <t>スウ</t>
    </rPh>
    <rPh sb="12" eb="14">
      <t>キンガク</t>
    </rPh>
    <rPh sb="15" eb="17">
      <t>ショウヒン</t>
    </rPh>
    <rPh sb="29" eb="30">
      <t>モ</t>
    </rPh>
    <phoneticPr fontId="1"/>
  </si>
  <si>
    <t>EEZO（お歳暮広告出稿開始。データトラッキングできているか確認）</t>
    <rPh sb="6" eb="8">
      <t>セイボ</t>
    </rPh>
    <rPh sb="8" eb="10">
      <t>コウコク</t>
    </rPh>
    <rPh sb="10" eb="12">
      <t>シュッコウ</t>
    </rPh>
    <rPh sb="12" eb="14">
      <t>カイシ</t>
    </rPh>
    <rPh sb="30" eb="32">
      <t>カクニン</t>
    </rPh>
    <phoneticPr fontId="1"/>
  </si>
  <si>
    <t>オーセント仕入れデータ集計</t>
    <rPh sb="5" eb="7">
      <t>シイ</t>
    </rPh>
    <rPh sb="11" eb="13">
      <t>シュウケイ</t>
    </rPh>
    <phoneticPr fontId="1"/>
  </si>
  <si>
    <t>11月月次締め（請求・支払）</t>
    <rPh sb="2" eb="3">
      <t>ガツ</t>
    </rPh>
    <rPh sb="3" eb="5">
      <t>ゲツジ</t>
    </rPh>
    <rPh sb="5" eb="6">
      <t>シ</t>
    </rPh>
    <rPh sb="8" eb="10">
      <t>セイキュウ</t>
    </rPh>
    <rPh sb="11" eb="13">
      <t>シハライ</t>
    </rPh>
    <phoneticPr fontId="1"/>
  </si>
  <si>
    <t>展示会フォロー（Sansanで案件化、商品・金額・確度・ネクストアクション入力、お礼メール配信）</t>
    <rPh sb="0" eb="3">
      <t>テンジカイ</t>
    </rPh>
    <rPh sb="15" eb="17">
      <t>アンケン</t>
    </rPh>
    <rPh sb="17" eb="18">
      <t>カ</t>
    </rPh>
    <rPh sb="19" eb="21">
      <t>ショウヒン</t>
    </rPh>
    <rPh sb="22" eb="24">
      <t>キンガク</t>
    </rPh>
    <rPh sb="25" eb="27">
      <t>カクド</t>
    </rPh>
    <rPh sb="37" eb="39">
      <t>ニュウリョク</t>
    </rPh>
    <phoneticPr fontId="1"/>
  </si>
  <si>
    <t>EEZO離脱分析と改善</t>
    <rPh sb="4" eb="6">
      <t>リダツ</t>
    </rPh>
    <rPh sb="6" eb="8">
      <t>ブンセキ</t>
    </rPh>
    <rPh sb="9" eb="11">
      <t>カイゼン</t>
    </rPh>
    <phoneticPr fontId="1"/>
  </si>
  <si>
    <t>新規注文処理（ホロニック・楽水山・道の駅……）</t>
    <rPh sb="0" eb="2">
      <t>シンキ</t>
    </rPh>
    <rPh sb="2" eb="4">
      <t>チュウモン</t>
    </rPh>
    <rPh sb="4" eb="6">
      <t>ショリ</t>
    </rPh>
    <rPh sb="13" eb="14">
      <t>ラク</t>
    </rPh>
    <rPh sb="14" eb="15">
      <t>スイ</t>
    </rPh>
    <rPh sb="15" eb="16">
      <t>サン</t>
    </rPh>
    <rPh sb="17" eb="18">
      <t>ミチ</t>
    </rPh>
    <rPh sb="19" eb="20">
      <t>エキ</t>
    </rPh>
    <phoneticPr fontId="1"/>
  </si>
  <si>
    <t>SNS管理（お歳暮投稿）</t>
    <rPh sb="3" eb="5">
      <t>カンリ</t>
    </rPh>
    <rPh sb="7" eb="9">
      <t>セイボ</t>
    </rPh>
    <rPh sb="9" eb="11">
      <t>トウコウ</t>
    </rPh>
    <phoneticPr fontId="1"/>
  </si>
  <si>
    <t>案件リスト更新（定期タスク）</t>
    <rPh sb="8" eb="10">
      <t>テイキ</t>
    </rPh>
    <phoneticPr fontId="1"/>
  </si>
  <si>
    <t>商品マスタ更新(定期タスク）</t>
    <rPh sb="5" eb="7">
      <t>コウシン</t>
    </rPh>
    <rPh sb="8" eb="10">
      <t>テイキ</t>
    </rPh>
    <phoneticPr fontId="1"/>
  </si>
  <si>
    <t>DENBA稟議</t>
    <rPh sb="5" eb="7">
      <t>リンギ</t>
    </rPh>
    <phoneticPr fontId="1"/>
  </si>
  <si>
    <t>商品リスト整理（ラクスルフォーマット→PDF化。日英メール送付対応）</t>
    <rPh sb="0" eb="2">
      <t>ショウヒン</t>
    </rPh>
    <rPh sb="5" eb="7">
      <t>セイリ</t>
    </rPh>
    <rPh sb="22" eb="23">
      <t>カ</t>
    </rPh>
    <rPh sb="24" eb="26">
      <t>ニチエイ</t>
    </rPh>
    <rPh sb="29" eb="31">
      <t>ソウフ</t>
    </rPh>
    <rPh sb="31" eb="33">
      <t>タイオウ</t>
    </rPh>
    <phoneticPr fontId="1"/>
  </si>
  <si>
    <t>イオンと組めるか考える</t>
    <rPh sb="4" eb="5">
      <t>ク</t>
    </rPh>
    <rPh sb="8" eb="9">
      <t>カンガ</t>
    </rPh>
    <phoneticPr fontId="1"/>
  </si>
  <si>
    <t>エゾシカソーセージ情報集約(GODDOG)</t>
    <phoneticPr fontId="1"/>
  </si>
  <si>
    <t>フェリシモ（会員制ギフト）提案考える</t>
    <rPh sb="6" eb="9">
      <t>カイインセイ</t>
    </rPh>
    <rPh sb="13" eb="15">
      <t>テイアン</t>
    </rPh>
    <rPh sb="15" eb="16">
      <t>カンガ</t>
    </rPh>
    <phoneticPr fontId="1"/>
  </si>
  <si>
    <t>大商フォローメール</t>
    <rPh sb="0" eb="2">
      <t>ダイショウ</t>
    </rPh>
    <phoneticPr fontId="1"/>
  </si>
  <si>
    <t>タスク追加日</t>
    <rPh sb="3" eb="5">
      <t>ツイカ</t>
    </rPh>
    <rPh sb="5" eb="6">
      <t>ヒ</t>
    </rPh>
    <phoneticPr fontId="1"/>
  </si>
  <si>
    <t>2510xx</t>
    <phoneticPr fontId="1"/>
  </si>
  <si>
    <t>2508xx</t>
    <phoneticPr fontId="1"/>
  </si>
  <si>
    <t>2509xx</t>
    <phoneticPr fontId="1"/>
  </si>
  <si>
    <t>-</t>
    <phoneticPr fontId="1"/>
  </si>
  <si>
    <t>月次報告会準備</t>
    <rPh sb="0" eb="2">
      <t>ゲツジ</t>
    </rPh>
    <rPh sb="2" eb="5">
      <t>ホウコクカイ</t>
    </rPh>
    <rPh sb="5" eb="7">
      <t>ジュンビ</t>
    </rPh>
    <phoneticPr fontId="1"/>
  </si>
  <si>
    <t>EEZO施策別評価（メルマガ、広告）</t>
    <rPh sb="4" eb="6">
      <t>シサク</t>
    </rPh>
    <rPh sb="6" eb="7">
      <t>ベツ</t>
    </rPh>
    <rPh sb="7" eb="9">
      <t>ヒョウカ</t>
    </rPh>
    <rPh sb="15" eb="17">
      <t>コウコク</t>
    </rPh>
    <phoneticPr fontId="1"/>
  </si>
  <si>
    <t>2511xx</t>
    <phoneticPr fontId="1"/>
  </si>
  <si>
    <t>2506xx</t>
    <phoneticPr fontId="1"/>
  </si>
  <si>
    <t>野瀬リスト定義、作成</t>
    <rPh sb="0" eb="2">
      <t>ノセ</t>
    </rPh>
    <rPh sb="5" eb="7">
      <t>テイギ</t>
    </rPh>
    <rPh sb="8" eb="10">
      <t>サクセイ</t>
    </rPh>
    <phoneticPr fontId="1"/>
  </si>
  <si>
    <t>id</t>
  </si>
  <si>
    <t>タスク追加日</t>
  </si>
  <si>
    <t>Shopifyアカウント発行</t>
  </si>
  <si>
    <t>NEXIユーザー登録、信用調査依頼</t>
  </si>
  <si>
    <t>決済関連（EEZO決済方法追加、小口客向け事前決済サービスと基準づくり）</t>
  </si>
  <si>
    <t>月次〆（請求・支払・仕入・案件情報）</t>
  </si>
  <si>
    <t>オーセント仕入れデータ集計</t>
  </si>
  <si>
    <t>大商フォローメール</t>
  </si>
  <si>
    <t>イオンと組めるか考える</t>
  </si>
  <si>
    <t>エゾシカソーセージ情報集約(GODDOG)</t>
  </si>
  <si>
    <t>フェリシモ（会員制ギフト）提案考える</t>
  </si>
  <si>
    <t>インフォマートの活用余地を検討する</t>
  </si>
  <si>
    <t>25-05-19</t>
  </si>
  <si>
    <t>25-11-06</t>
  </si>
  <si>
    <t>25-11-24</t>
  </si>
  <si>
    <t>25-12-08</t>
  </si>
  <si>
    <t>25-10-15</t>
  </si>
  <si>
    <t>25-06-23</t>
  </si>
  <si>
    <t>25-11-17</t>
  </si>
  <si>
    <t>25-11-01</t>
  </si>
  <si>
    <t>25-04-14</t>
  </si>
  <si>
    <t>25-10-01</t>
  </si>
  <si>
    <t>25-04-09</t>
  </si>
  <si>
    <t>25-05-29</t>
  </si>
  <si>
    <t>25-09-01</t>
  </si>
  <si>
    <t>25-04-16</t>
  </si>
  <si>
    <t>25-04-10</t>
  </si>
  <si>
    <t>25-06-06</t>
  </si>
  <si>
    <t>25-05-07</t>
  </si>
  <si>
    <t>25-06-11</t>
  </si>
  <si>
    <t>25-12-26</t>
    <phoneticPr fontId="1"/>
  </si>
  <si>
    <t>定期タスク</t>
    <rPh sb="0" eb="2">
      <t>テイキ</t>
    </rPh>
    <phoneticPr fontId="1"/>
  </si>
  <si>
    <t>価格情報収集（指示だし）</t>
  </si>
  <si>
    <t>エディ打合せ</t>
  </si>
  <si>
    <t>売掛補償（情報収集）</t>
    <rPh sb="5" eb="7">
      <t>ジョウホウ</t>
    </rPh>
    <rPh sb="7" eb="9">
      <t>シュウシュウ</t>
    </rPh>
    <phoneticPr fontId="1"/>
  </si>
  <si>
    <t>受発注管理台帳　関数バグ修正、集計追加</t>
  </si>
  <si>
    <t>SNSアカウント運用マニュアル</t>
  </si>
  <si>
    <t>月次締め 2月分 請求書収集・伝票起票状況確認</t>
  </si>
  <si>
    <t>EEZO商標登録手続き</t>
  </si>
  <si>
    <t>EEZOtoB収益モデル、短期長期、BC棲み分け、デザイン掲示方針</t>
  </si>
  <si>
    <t>セットメニュー仮案(ギフト)</t>
  </si>
  <si>
    <t>ヤマトヤシキフォロー（画像取りまとめ、仕入価格確認）</t>
  </si>
  <si>
    <t>雲鶴発注（GG）</t>
  </si>
  <si>
    <t>野瀬リスト更新(カテゴリ、具体リスト、優先度、スケジュール）</t>
  </si>
  <si>
    <t>DENBAモバイル契約書詰め、プッシュ、社内確認</t>
    <rPh sb="9" eb="12">
      <t>ケイヤクショ</t>
    </rPh>
    <rPh sb="12" eb="13">
      <t>ツ</t>
    </rPh>
    <rPh sb="20" eb="22">
      <t>シャナイ</t>
    </rPh>
    <rPh sb="22" eb="24">
      <t>カクニン</t>
    </rPh>
    <phoneticPr fontId="1"/>
  </si>
  <si>
    <t>EEZO商品画像収集（カメラマンリソース手配・サンプル手配など）</t>
    <rPh sb="4" eb="6">
      <t>ショウヒン</t>
    </rPh>
    <rPh sb="6" eb="8">
      <t>ガゾウ</t>
    </rPh>
    <rPh sb="8" eb="10">
      <t>シュウシュウ</t>
    </rPh>
    <rPh sb="27" eb="29">
      <t>テハイ</t>
    </rPh>
    <phoneticPr fontId="1"/>
  </si>
  <si>
    <t>NEXI本登録、与信調査開始</t>
    <rPh sb="4" eb="5">
      <t>ホン</t>
    </rPh>
    <rPh sb="5" eb="7">
      <t>トウロク</t>
    </rPh>
    <rPh sb="8" eb="10">
      <t>ヨシン</t>
    </rPh>
    <rPh sb="10" eb="12">
      <t>チョウサ</t>
    </rPh>
    <rPh sb="12" eb="14">
      <t>カイシ</t>
    </rPh>
    <phoneticPr fontId="1"/>
  </si>
  <si>
    <t>オーセントシャンプー連携</t>
    <rPh sb="10" eb="12">
      <t>レンケイ</t>
    </rPh>
    <phoneticPr fontId="1"/>
  </si>
  <si>
    <t>フラワーリスト・ホテルリスト指示、優先順位付け</t>
    <rPh sb="14" eb="16">
      <t>シジ</t>
    </rPh>
    <rPh sb="17" eb="19">
      <t>ユウセン</t>
    </rPh>
    <rPh sb="19" eb="21">
      <t>ジュンイ</t>
    </rPh>
    <rPh sb="21" eb="22">
      <t>ヅ</t>
    </rPh>
    <phoneticPr fontId="1"/>
  </si>
  <si>
    <t>舞コーンウォッチ</t>
    <rPh sb="0" eb="1">
      <t>マイ</t>
    </rPh>
    <phoneticPr fontId="1"/>
  </si>
  <si>
    <t>高山業務棚卸 各カテゴリの説明考える</t>
  </si>
  <si>
    <t>延田グループ調査報告</t>
    <rPh sb="0" eb="2">
      <t>ノブタ</t>
    </rPh>
    <rPh sb="6" eb="8">
      <t>チョウサ</t>
    </rPh>
    <rPh sb="8" eb="10">
      <t>ホウコク</t>
    </rPh>
    <phoneticPr fontId="1"/>
  </si>
  <si>
    <t>情報管理（収集・保管・加工・出力とそれらの自動化）</t>
    <rPh sb="0" eb="2">
      <t>ジョウホウ</t>
    </rPh>
    <rPh sb="2" eb="4">
      <t>カンリ</t>
    </rPh>
    <rPh sb="5" eb="7">
      <t>シュウシュウ</t>
    </rPh>
    <rPh sb="8" eb="10">
      <t>ホカン</t>
    </rPh>
    <rPh sb="11" eb="13">
      <t>カコウ</t>
    </rPh>
    <rPh sb="14" eb="16">
      <t>シュツリョク</t>
    </rPh>
    <rPh sb="21" eb="24">
      <t>ジドウカ</t>
    </rPh>
    <phoneticPr fontId="1"/>
  </si>
  <si>
    <t>.エゾシカ（ブランディング、PF販路）</t>
    <phoneticPr fontId="1"/>
  </si>
  <si>
    <t>EEZO："B/C棲み分け＋MP化"踏まえた収支計画</t>
    <phoneticPr fontId="1"/>
  </si>
  <si>
    <t>インパクト　髙：主要SI or 業務全体に直結　中：主要SI　低：それ以外</t>
  </si>
  <si>
    <t>緊急度　高：今週　中：2週間以内　低：それより先</t>
  </si>
  <si>
    <t>インパクト</t>
  </si>
  <si>
    <t>緊急度</t>
  </si>
  <si>
    <t>仕組み</t>
  </si>
  <si>
    <t>月次報告会・部店長会議準備</t>
  </si>
  <si>
    <t>高</t>
  </si>
  <si>
    <t>26-03-16</t>
  </si>
  <si>
    <t>EEZO収益モデル</t>
  </si>
  <si>
    <t>26-03-09</t>
  </si>
  <si>
    <t>EEZOサイト構成</t>
  </si>
  <si>
    <t>EEZOタスク配分とスケジュール振り直し</t>
  </si>
  <si>
    <t>26-03-13</t>
  </si>
  <si>
    <t>松本さんインサイドセールスワークフロー</t>
  </si>
  <si>
    <t>中</t>
  </si>
  <si>
    <t>○</t>
  </si>
  <si>
    <t>仕入総数の認識合わせw/門永さん</t>
  </si>
  <si>
    <t>低</t>
  </si>
  <si>
    <t>ヤマトヤシキフォロー（在庫確認連絡、回答、依頼商品見積準備）</t>
  </si>
  <si>
    <t>DENBAモバイル契約書（手数料契約）稟議　野瀬稼働は先行</t>
  </si>
  <si>
    <t>26-03-02</t>
  </si>
  <si>
    <t>DENBA契約書締結＆支払見届け</t>
  </si>
  <si>
    <t>エゾシカアポイント獲得手段仕訳と効率化</t>
  </si>
  <si>
    <t>26-03-12</t>
  </si>
  <si>
    <t>intasect輸出支援サービス 調査</t>
  </si>
  <si>
    <t>トレンド定点観測 キャッチ&amp;報告の仕組み設計</t>
  </si>
  <si>
    <t>イオンPF報告</t>
  </si>
  <si>
    <t>EEZO商品画像収集（カメラマンリソース手配・サンプル手配など）</t>
  </si>
  <si>
    <t>NEXI本登録、与信調査開始</t>
  </si>
  <si>
    <t>EEZOギフト商品ページコンセプト</t>
  </si>
  <si>
    <t>展示会報告（AI・自動化文脈）</t>
  </si>
  <si>
    <t>26-02-24</t>
  </si>
  <si>
    <t>展示会報告（専門技術、規制文脈）</t>
  </si>
  <si>
    <t>オーセントシャンプー連携</t>
  </si>
  <si>
    <t>26-02-03</t>
  </si>
  <si>
    <t>下関からの発注ウォッチ</t>
  </si>
  <si>
    <t>食味言語化フレームワーク</t>
  </si>
  <si>
    <t>受発注管理台帳　関数バグ修正、集計追加　輸出書類自動化対応</t>
  </si>
  <si>
    <t>26-02-27</t>
  </si>
  <si>
    <t>フラワーリスト・ホテルリスト指示、優先順位付け</t>
  </si>
  <si>
    <t>26-02-25</t>
  </si>
  <si>
    <t>延田グループ調査報告</t>
  </si>
  <si>
    <t>松本さん面談設定を目的としたネットワーキング</t>
  </si>
  <si>
    <t>舞コーンウォッチ</t>
  </si>
  <si>
    <t>情報管理（収集・保管・加工・出力とそれらの自動化）</t>
  </si>
  <si>
    <t>計</t>
  </si>
  <si>
    <t>緊</t>
  </si>
  <si>
    <t>急</t>
  </si>
  <si>
    <t>度</t>
  </si>
  <si>
    <t>DENBAモバイル契約書（手数料契約）稟議</t>
    <phoneticPr fontId="1"/>
  </si>
  <si>
    <t>EEZO　販売全体像</t>
    <rPh sb="5" eb="7">
      <t>ハンバイ</t>
    </rPh>
    <rPh sb="7" eb="10">
      <t>ゼンタイゾウ</t>
    </rPh>
    <phoneticPr fontId="1"/>
  </si>
  <si>
    <t>高</t>
    <phoneticPr fontId="1"/>
  </si>
  <si>
    <t>中</t>
    <phoneticPr fontId="1"/>
  </si>
  <si>
    <t>EEZOBとC棲み分け　ストーリーだけが共通であとは別</t>
    <rPh sb="7" eb="8">
      <t>ス</t>
    </rPh>
    <rPh sb="9" eb="10">
      <t>ワ</t>
    </rPh>
    <rPh sb="20" eb="22">
      <t>キョウツウ</t>
    </rPh>
    <rPh sb="26" eb="27">
      <t>ベツ</t>
    </rPh>
    <phoneticPr fontId="1"/>
  </si>
  <si>
    <t>DENBAモバイルターゲット　フィルタリング条件</t>
    <rPh sb="22" eb="24">
      <t>ジョウケン</t>
    </rPh>
    <phoneticPr fontId="1"/>
  </si>
  <si>
    <t>ヤマトヤシキフォロー（発注後のやり取り）</t>
    <rPh sb="11" eb="13">
      <t>ハッチュウ</t>
    </rPh>
    <rPh sb="13" eb="14">
      <t>ゴ</t>
    </rPh>
    <rPh sb="17" eb="18">
      <t>ト</t>
    </rPh>
    <phoneticPr fontId="1"/>
  </si>
  <si>
    <t>インフルエンサー（Beee）コンタクト</t>
    <phoneticPr fontId="1"/>
  </si>
  <si>
    <t>松本さんインサイドセールス候補企業リスト</t>
    <rPh sb="13" eb="15">
      <t>コウホ</t>
    </rPh>
    <rPh sb="15" eb="17">
      <t>キギョウ</t>
    </rPh>
    <phoneticPr fontId="1"/>
  </si>
  <si>
    <t>EEZO　再公開用商品リスト反映</t>
    <rPh sb="5" eb="8">
      <t>サイコウカイ</t>
    </rPh>
    <rPh sb="8" eb="9">
      <t>ヨウ</t>
    </rPh>
    <rPh sb="9" eb="11">
      <t>ショウヒン</t>
    </rPh>
    <rPh sb="14" eb="16">
      <t>ハンエイ</t>
    </rPh>
    <phoneticPr fontId="1"/>
  </si>
  <si>
    <t>近鉄ゴルフ場 取引基本契約書締結・関連書類準備</t>
    <phoneticPr fontId="1"/>
  </si>
  <si>
    <t>大樹町ウイスキー 取引基本契約書締結</t>
    <rPh sb="0" eb="3">
      <t>タイキチョウ</t>
    </rPh>
    <phoneticPr fontId="1"/>
  </si>
  <si>
    <t>海藻調査</t>
    <rPh sb="0" eb="2">
      <t>カイソウ</t>
    </rPh>
    <rPh sb="2" eb="4">
      <t>チョウサ</t>
    </rPh>
    <phoneticPr fontId="1"/>
  </si>
  <si>
    <t>ファブレス酒事業調査（サンフーズ/AULI/プラス/カジューハイ等）</t>
    <phoneticPr fontId="1"/>
  </si>
  <si>
    <t>田嶋引継（受発注管理台帳の運用）</t>
    <rPh sb="0" eb="2">
      <t>タシマ</t>
    </rPh>
    <rPh sb="2" eb="4">
      <t>ヒキツギ</t>
    </rPh>
    <rPh sb="5" eb="8">
      <t>ジュハッチュウ</t>
    </rPh>
    <rPh sb="8" eb="10">
      <t>カンリ</t>
    </rPh>
    <rPh sb="10" eb="12">
      <t>ダイチョウ</t>
    </rPh>
    <rPh sb="13" eb="15">
      <t>ウンヨウ</t>
    </rPh>
    <phoneticPr fontId="1"/>
  </si>
  <si>
    <t>田嶋引継（経理処理）</t>
    <rPh sb="0" eb="2">
      <t>タシマ</t>
    </rPh>
    <rPh sb="2" eb="4">
      <t>ヒキツギ</t>
    </rPh>
    <rPh sb="5" eb="7">
      <t>ケイリ</t>
    </rPh>
    <rPh sb="7" eb="9">
      <t>ショリ</t>
    </rPh>
    <phoneticPr fontId="1"/>
  </si>
  <si>
    <t>EEZO　移築完了手続き</t>
    <rPh sb="5" eb="7">
      <t>イチク</t>
    </rPh>
    <rPh sb="7" eb="9">
      <t>カンリョウ</t>
    </rPh>
    <rPh sb="9" eb="11">
      <t>テツヅ</t>
    </rPh>
    <phoneticPr fontId="1"/>
  </si>
  <si>
    <t>月次処理（請求・経理処理）</t>
    <rPh sb="0" eb="2">
      <t>ゲツジ</t>
    </rPh>
    <rPh sb="2" eb="4">
      <t>ショリ</t>
    </rPh>
    <rPh sb="5" eb="7">
      <t>セイキュウ</t>
    </rPh>
    <rPh sb="8" eb="10">
      <t>ケイリ</t>
    </rPh>
    <rPh sb="10" eb="12">
      <t>ショリ</t>
    </rPh>
    <phoneticPr fontId="1"/>
  </si>
  <si>
    <t>案件管理の運用方法検討</t>
    <rPh sb="0" eb="2">
      <t>アンケン</t>
    </rPh>
    <rPh sb="2" eb="4">
      <t>カンリ</t>
    </rPh>
    <rPh sb="5" eb="7">
      <t>ウンヨウ</t>
    </rPh>
    <rPh sb="7" eb="9">
      <t>ホウホウ</t>
    </rPh>
    <rPh sb="9" eb="11">
      <t>ケントウ</t>
    </rPh>
    <phoneticPr fontId="1"/>
  </si>
  <si>
    <t>EEZOtoB　審査・与信手順検討</t>
    <rPh sb="8" eb="10">
      <t>シンサ</t>
    </rPh>
    <rPh sb="11" eb="13">
      <t>ヨシン</t>
    </rPh>
    <rPh sb="13" eb="15">
      <t>テジュン</t>
    </rPh>
    <rPh sb="15" eb="17">
      <t>ケントウ</t>
    </rPh>
    <phoneticPr fontId="1"/>
  </si>
  <si>
    <t>○</t>
    <phoneticPr fontId="1"/>
  </si>
  <si>
    <t>インフルエンサー提案準備</t>
    <rPh sb="8" eb="10">
      <t>テイアン</t>
    </rPh>
    <rPh sb="10" eb="12">
      <t>ジュンビ</t>
    </rPh>
    <phoneticPr fontId="1"/>
  </si>
  <si>
    <t>EEZO モノカネの流れ整理</t>
    <rPh sb="10" eb="11">
      <t>ナガ</t>
    </rPh>
    <rPh sb="12" eb="14">
      <t>セイリ</t>
    </rPh>
    <phoneticPr fontId="1"/>
  </si>
  <si>
    <t>月曜定例のフォーマット（要件待ち）</t>
    <rPh sb="0" eb="2">
      <t>ゲツヨウ</t>
    </rPh>
    <rPh sb="2" eb="4">
      <t>テイレイ</t>
    </rPh>
    <rPh sb="12" eb="14">
      <t>ヨウケン</t>
    </rPh>
    <rPh sb="14" eb="15">
      <t>マ</t>
    </rPh>
    <phoneticPr fontId="1"/>
  </si>
  <si>
    <t>田嶋DENBA紹介</t>
    <rPh sb="0" eb="2">
      <t>タシマ</t>
    </rPh>
    <rPh sb="7" eb="9">
      <t>ショウカイ</t>
    </rPh>
    <phoneticPr fontId="1"/>
  </si>
  <si>
    <t>カテゴリLP作成（焼き菓子・日本酒・デリカ・野菜）</t>
    <rPh sb="6" eb="8">
      <t>サクセイ</t>
    </rPh>
    <rPh sb="9" eb="10">
      <t>ヤ</t>
    </rPh>
    <rPh sb="11" eb="13">
      <t>ガシ</t>
    </rPh>
    <rPh sb="14" eb="17">
      <t>ニホンシュ</t>
    </rPh>
    <rPh sb="22" eb="24">
      <t>ヤサイ</t>
    </rPh>
    <phoneticPr fontId="1"/>
  </si>
  <si>
    <t>松本さん契約更新に係る業務内容まとめ</t>
    <rPh sb="0" eb="2">
      <t>マツモト</t>
    </rPh>
    <rPh sb="4" eb="6">
      <t>ケイヤク</t>
    </rPh>
    <rPh sb="6" eb="8">
      <t>コウシン</t>
    </rPh>
    <rPh sb="9" eb="10">
      <t>カカ</t>
    </rPh>
    <rPh sb="11" eb="13">
      <t>ギョウム</t>
    </rPh>
    <rPh sb="13" eb="15">
      <t>ナイヨウ</t>
    </rPh>
    <phoneticPr fontId="1"/>
  </si>
  <si>
    <t>6月展示会　タスク棚卸・期限設定</t>
    <rPh sb="1" eb="2">
      <t>ガツ</t>
    </rPh>
    <rPh sb="2" eb="5">
      <t>テンジカイ</t>
    </rPh>
    <rPh sb="9" eb="11">
      <t>タナオロシ</t>
    </rPh>
    <rPh sb="12" eb="14">
      <t>キゲン</t>
    </rPh>
    <rPh sb="14" eb="16">
      <t>セッテイ</t>
    </rPh>
    <phoneticPr fontId="1"/>
  </si>
  <si>
    <t>エゾシカ　予約サイクル</t>
    <rPh sb="5" eb="7">
      <t>ヨヤク</t>
    </rPh>
    <phoneticPr fontId="1"/>
  </si>
  <si>
    <t>EEZO　ヒーロー画像選定</t>
    <rPh sb="9" eb="11">
      <t>ガゾウ</t>
    </rPh>
    <rPh sb="11" eb="13">
      <t>センテイ</t>
    </rPh>
    <phoneticPr fontId="1"/>
  </si>
  <si>
    <t>案件管理＆SI管理　データ集約方法検討</t>
    <rPh sb="0" eb="2">
      <t>アンケン</t>
    </rPh>
    <rPh sb="2" eb="4">
      <t>カンリ</t>
    </rPh>
    <rPh sb="7" eb="9">
      <t>カンリ</t>
    </rPh>
    <rPh sb="13" eb="15">
      <t>シュウヤク</t>
    </rPh>
    <rPh sb="15" eb="17">
      <t>ホウホウ</t>
    </rPh>
    <rPh sb="17" eb="19">
      <t>ケントウ</t>
    </rPh>
    <phoneticPr fontId="1"/>
  </si>
  <si>
    <t>EEZOギフト カテゴリ×3価格帯表作成</t>
  </si>
  <si>
    <t>AI活用に関する継続タスク</t>
    <rPh sb="2" eb="4">
      <t>カツヨウ</t>
    </rPh>
    <rPh sb="5" eb="6">
      <t>カン</t>
    </rPh>
    <rPh sb="8" eb="10">
      <t>ケイゾク</t>
    </rPh>
    <phoneticPr fontId="1"/>
  </si>
  <si>
    <t>インフォマートBtoB商談　稟議検討</t>
    <rPh sb="11" eb="13">
      <t>ショウダン</t>
    </rPh>
    <rPh sb="14" eb="16">
      <t>リンギ</t>
    </rPh>
    <rPh sb="16" eb="18">
      <t>ケントウ</t>
    </rPh>
    <phoneticPr fontId="1"/>
  </si>
  <si>
    <t>オーセント顧客統合データ見てみる</t>
    <rPh sb="5" eb="7">
      <t>コキャク</t>
    </rPh>
    <rPh sb="7" eb="9">
      <t>トウゴウ</t>
    </rPh>
    <rPh sb="12" eb="13">
      <t>ミ</t>
    </rPh>
    <phoneticPr fontId="1"/>
  </si>
  <si>
    <t>PFSI・案件進捗の管理と可視化</t>
    <rPh sb="5" eb="7">
      <t>アンケン</t>
    </rPh>
    <rPh sb="7" eb="9">
      <t>シンチョク</t>
    </rPh>
    <rPh sb="10" eb="12">
      <t>カンリ</t>
    </rPh>
    <rPh sb="13" eb="16">
      <t>カシカ</t>
    </rPh>
    <phoneticPr fontId="1"/>
  </si>
  <si>
    <t>EEZO　イベント実施体制の見直し</t>
    <rPh sb="9" eb="11">
      <t>ジッシ</t>
    </rPh>
    <rPh sb="11" eb="13">
      <t>タイセイ</t>
    </rPh>
    <rPh sb="14" eb="16">
      <t>ミナオ</t>
    </rPh>
    <phoneticPr fontId="1"/>
  </si>
  <si>
    <t>営業アポ取り手段（インフォマートBtoB商談）</t>
    <rPh sb="0" eb="2">
      <t>エイギョウ</t>
    </rPh>
    <rPh sb="4" eb="5">
      <t>ト</t>
    </rPh>
    <rPh sb="6" eb="8">
      <t>シュダン</t>
    </rPh>
    <rPh sb="20" eb="22">
      <t>ショウダン</t>
    </rPh>
    <phoneticPr fontId="1"/>
  </si>
  <si>
    <t>Googleカレンダーによる予定管理</t>
    <rPh sb="14" eb="16">
      <t>ヨテイ</t>
    </rPh>
    <rPh sb="16" eb="18">
      <t>カンリ</t>
    </rPh>
    <phoneticPr fontId="1"/>
  </si>
  <si>
    <t>展示会　酒マッピング見直し</t>
    <rPh sb="0" eb="3">
      <t>テンジカイ</t>
    </rPh>
    <rPh sb="4" eb="5">
      <t>サケ</t>
    </rPh>
    <rPh sb="10" eb="12">
      <t>ミナオ</t>
    </rPh>
    <phoneticPr fontId="1"/>
  </si>
  <si>
    <t>展示会　ブースレイアウトと必要画像の確認</t>
    <rPh sb="0" eb="3">
      <t>テンジカイ</t>
    </rPh>
    <rPh sb="13" eb="15">
      <t>ヒツヨウ</t>
    </rPh>
    <rPh sb="15" eb="17">
      <t>ガゾウ</t>
    </rPh>
    <rPh sb="18" eb="20">
      <t>カクニン</t>
    </rPh>
    <phoneticPr fontId="1"/>
  </si>
  <si>
    <t>展示会　試飲申請</t>
    <rPh sb="0" eb="3">
      <t>テンジカイ</t>
    </rPh>
    <rPh sb="4" eb="6">
      <t>シイン</t>
    </rPh>
    <rPh sb="6" eb="8">
      <t>シンセイ</t>
    </rPh>
    <phoneticPr fontId="1"/>
  </si>
  <si>
    <t>黒田さん契約更新検討</t>
    <rPh sb="0" eb="2">
      <t>クロダ</t>
    </rPh>
    <rPh sb="4" eb="6">
      <t>ケイヤク</t>
    </rPh>
    <rPh sb="6" eb="8">
      <t>コウシン</t>
    </rPh>
    <rPh sb="8" eb="10">
      <t>ケントウ</t>
    </rPh>
    <phoneticPr fontId="1"/>
  </si>
  <si>
    <t>野瀬リスト更新　5月末伝達、6月末更新</t>
    <rPh sb="9" eb="11">
      <t>ガツマツ</t>
    </rPh>
    <rPh sb="11" eb="13">
      <t>デンタツ</t>
    </rPh>
    <rPh sb="15" eb="17">
      <t>ガツマツ</t>
    </rPh>
    <rPh sb="17" eb="19">
      <t>コウシン</t>
    </rPh>
    <phoneticPr fontId="1"/>
  </si>
  <si>
    <t>月次〆(請求・支払）</t>
    <rPh sb="0" eb="2">
      <t>ゲツジ</t>
    </rPh>
    <rPh sb="4" eb="6">
      <t>セイキュウ</t>
    </rPh>
    <rPh sb="7" eb="9">
      <t>シハライ</t>
    </rPh>
    <phoneticPr fontId="1"/>
  </si>
  <si>
    <t>雪室　タスクに落とし込む</t>
    <rPh sb="0" eb="1">
      <t>セツ</t>
    </rPh>
    <rPh sb="1" eb="2">
      <t>ムロ</t>
    </rPh>
    <rPh sb="7" eb="8">
      <t>オ</t>
    </rPh>
    <rPh sb="10" eb="11">
      <t>コ</t>
    </rPh>
    <phoneticPr fontId="1"/>
  </si>
  <si>
    <t>営業進捗入力手順</t>
    <rPh sb="0" eb="2">
      <t>エイギョウ</t>
    </rPh>
    <rPh sb="2" eb="4">
      <t>シンチョク</t>
    </rPh>
    <rPh sb="4" eb="6">
      <t>ニュウリョク</t>
    </rPh>
    <rPh sb="6" eb="8">
      <t>テジュン</t>
    </rPh>
    <phoneticPr fontId="1"/>
  </si>
  <si>
    <t>展示会マッチング　事前アポ取得</t>
    <rPh sb="0" eb="3">
      <t>テンジカイ</t>
    </rPh>
    <rPh sb="9" eb="11">
      <t>ジゼン</t>
    </rPh>
    <rPh sb="13" eb="15">
      <t>シュトク</t>
    </rPh>
    <phoneticPr fontId="1"/>
  </si>
  <si>
    <t>展示会　酒クラスタリング</t>
    <rPh sb="0" eb="3">
      <t>テンジカイ</t>
    </rPh>
    <rPh sb="4" eb="5">
      <t>サケ</t>
    </rPh>
    <phoneticPr fontId="1"/>
  </si>
  <si>
    <t>EEZO　toBページ仕様（エゾシカページ・認証フォーム）</t>
    <rPh sb="11" eb="13">
      <t>シヨウ</t>
    </rPh>
    <rPh sb="22" eb="24">
      <t>ニンショウ</t>
    </rPh>
    <phoneticPr fontId="1"/>
  </si>
  <si>
    <t>エゾシカの匂い</t>
    <rPh sb="5" eb="6">
      <t>ニオ</t>
    </rPh>
    <phoneticPr fontId="1"/>
  </si>
  <si>
    <t>エゾシカの保険</t>
    <rPh sb="5" eb="7">
      <t>ホケン</t>
    </rPh>
    <phoneticPr fontId="1"/>
  </si>
  <si>
    <t>貨物協力</t>
    <rPh sb="0" eb="2">
      <t>カモツ</t>
    </rPh>
    <rPh sb="2" eb="4">
      <t>キョウリョク</t>
    </rPh>
    <phoneticPr fontId="1"/>
  </si>
  <si>
    <t>黒田堀田更新</t>
    <rPh sb="0" eb="2">
      <t>クロダ</t>
    </rPh>
    <rPh sb="2" eb="4">
      <t>ホリタ</t>
    </rPh>
    <rPh sb="4" eb="6">
      <t>コウシン</t>
    </rPh>
    <phoneticPr fontId="1"/>
  </si>
  <si>
    <t>エゾシカ価格表にEC(川島食品)追加</t>
    <rPh sb="4" eb="6">
      <t>カカク</t>
    </rPh>
    <rPh sb="6" eb="7">
      <t>ヒョウ</t>
    </rPh>
    <rPh sb="11" eb="13">
      <t>カワシマ</t>
    </rPh>
    <rPh sb="13" eb="15">
      <t>ショクヒン</t>
    </rPh>
    <rPh sb="16" eb="18">
      <t>ツイカ</t>
    </rPh>
    <phoneticPr fontId="1"/>
  </si>
  <si>
    <t>EEZO　追加商品確認、仮画像入れ</t>
    <rPh sb="5" eb="7">
      <t>ツイカ</t>
    </rPh>
    <rPh sb="7" eb="9">
      <t>ショウヒン</t>
    </rPh>
    <rPh sb="9" eb="11">
      <t>カクニン</t>
    </rPh>
    <rPh sb="12" eb="13">
      <t>カリ</t>
    </rPh>
    <rPh sb="13" eb="15">
      <t>ガゾウ</t>
    </rPh>
    <rPh sb="15" eb="16">
      <t>イ</t>
    </rPh>
    <phoneticPr fontId="1"/>
  </si>
  <si>
    <t>EEZO　インフルエンサー依頼商品手配</t>
    <rPh sb="13" eb="15">
      <t>イライ</t>
    </rPh>
    <rPh sb="15" eb="17">
      <t>ショウヒン</t>
    </rPh>
    <rPh sb="17" eb="19">
      <t>テハイ</t>
    </rPh>
    <phoneticPr fontId="1"/>
  </si>
  <si>
    <t>営業進捗入力手順書作成</t>
    <rPh sb="0" eb="2">
      <t>エイギョウ</t>
    </rPh>
    <rPh sb="2" eb="4">
      <t>シンチョク</t>
    </rPh>
    <rPh sb="4" eb="6">
      <t>ニュウリョク</t>
    </rPh>
    <rPh sb="6" eb="8">
      <t>テジュン</t>
    </rPh>
    <rPh sb="8" eb="9">
      <t>ショ</t>
    </rPh>
    <rPh sb="9" eb="11">
      <t>サクセイ</t>
    </rPh>
    <phoneticPr fontId="1"/>
  </si>
  <si>
    <t>KPI管理　データフロー作成</t>
    <rPh sb="3" eb="5">
      <t>カンリ</t>
    </rPh>
    <rPh sb="12" eb="14">
      <t>サクセイ</t>
    </rPh>
    <phoneticPr fontId="1"/>
  </si>
  <si>
    <t>インフォマート稟議</t>
    <rPh sb="7" eb="9">
      <t>リンギ</t>
    </rPh>
    <phoneticPr fontId="1"/>
  </si>
  <si>
    <t>EEZO　toBページ仕様 　仕上げ、最終確認</t>
    <rPh sb="11" eb="13">
      <t>シヨウ</t>
    </rPh>
    <rPh sb="15" eb="17">
      <t>シア</t>
    </rPh>
    <rPh sb="19" eb="21">
      <t>サイシュウ</t>
    </rPh>
    <rPh sb="21" eb="23">
      <t>カクニン</t>
    </rPh>
    <phoneticPr fontId="1"/>
  </si>
  <si>
    <t>展示会名刺情報集約　案件化</t>
    <rPh sb="0" eb="3">
      <t>テンジカイ</t>
    </rPh>
    <rPh sb="3" eb="5">
      <t>メイシ</t>
    </rPh>
    <rPh sb="5" eb="7">
      <t>ジョウホウ</t>
    </rPh>
    <rPh sb="7" eb="9">
      <t>シュウヤク</t>
    </rPh>
    <rPh sb="10" eb="12">
      <t>アンケン</t>
    </rPh>
    <rPh sb="12" eb="13">
      <t>カ</t>
    </rPh>
    <phoneticPr fontId="1"/>
  </si>
  <si>
    <t>お中元販促　インフルエンサー初動</t>
    <rPh sb="1" eb="3">
      <t>チュウゲン</t>
    </rPh>
    <rPh sb="3" eb="5">
      <t>ハンソク</t>
    </rPh>
    <rPh sb="14" eb="16">
      <t>ショドウ</t>
    </rPh>
    <phoneticPr fontId="1"/>
  </si>
  <si>
    <t>月次報告用フォーマット修正</t>
    <rPh sb="0" eb="2">
      <t>ゲツジ</t>
    </rPh>
    <rPh sb="2" eb="4">
      <t>ホウコク</t>
    </rPh>
    <rPh sb="4" eb="5">
      <t>ヨウ</t>
    </rPh>
    <rPh sb="11" eb="13">
      <t>シュウセイ</t>
    </rPh>
    <phoneticPr fontId="1"/>
  </si>
  <si>
    <t>展示会用品配送</t>
    <rPh sb="0" eb="3">
      <t>テンジカイ</t>
    </rPh>
    <rPh sb="3" eb="4">
      <t>ヨウ</t>
    </rPh>
    <rPh sb="4" eb="5">
      <t>ヒン</t>
    </rPh>
    <rPh sb="5" eb="7">
      <t>ハイソウ</t>
    </rPh>
    <phoneticPr fontId="1"/>
  </si>
  <si>
    <t>EEZO　toBページ 利用登録準備</t>
    <rPh sb="12" eb="14">
      <t>リヨウ</t>
    </rPh>
    <rPh sb="14" eb="16">
      <t>トウロク</t>
    </rPh>
    <rPh sb="16" eb="18">
      <t>ジュンビ</t>
    </rPh>
    <phoneticPr fontId="1"/>
  </si>
  <si>
    <t>鹿サンプル運用改善・EEZO連携</t>
    <rPh sb="0" eb="1">
      <t>シカ</t>
    </rPh>
    <rPh sb="5" eb="7">
      <t>ウンヨウ</t>
    </rPh>
    <rPh sb="7" eb="9">
      <t>カイゼン</t>
    </rPh>
    <rPh sb="14" eb="16">
      <t>レンケイ</t>
    </rPh>
    <phoneticPr fontId="1"/>
  </si>
  <si>
    <t>Japan streetに牛乳入れる</t>
    <rPh sb="13" eb="15">
      <t>ギュウニュウ</t>
    </rPh>
    <rPh sb="15" eb="16">
      <t>イ</t>
    </rPh>
    <phoneticPr fontId="1"/>
  </si>
  <si>
    <t>BLING依頼、発注サイクル</t>
    <rPh sb="5" eb="7">
      <t>イライ</t>
    </rPh>
    <rPh sb="8" eb="10">
      <t>ハッチュウ</t>
    </rPh>
    <phoneticPr fontId="1"/>
  </si>
  <si>
    <t>高山業務棚卸（再）</t>
    <rPh sb="7" eb="8">
      <t>サイ</t>
    </rPh>
    <phoneticPr fontId="1"/>
  </si>
  <si>
    <t>EEZO　toBページ　トップどうする</t>
    <phoneticPr fontId="1"/>
  </si>
  <si>
    <t>営業進捗→RAG→台帳自動化のモックアップ</t>
    <rPh sb="0" eb="2">
      <t>エイギョウ</t>
    </rPh>
    <rPh sb="2" eb="4">
      <t>シンチョク</t>
    </rPh>
    <rPh sb="9" eb="11">
      <t>ダイチョウ</t>
    </rPh>
    <rPh sb="11" eb="14">
      <t>ジドウカ</t>
    </rPh>
    <phoneticPr fontId="1"/>
  </si>
  <si>
    <t>派遣タスク、コスト試算</t>
    <rPh sb="0" eb="2">
      <t>ハケン</t>
    </rPh>
    <rPh sb="9" eb="11">
      <t>シサン</t>
    </rPh>
    <phoneticPr fontId="1"/>
  </si>
  <si>
    <t>DENBAチラシtoドライバー</t>
    <phoneticPr fontId="1"/>
  </si>
  <si>
    <t>EEZO 検索強化</t>
    <rPh sb="5" eb="7">
      <t>ケンサク</t>
    </rPh>
    <rPh sb="7" eb="9">
      <t>キョウカ</t>
    </rPh>
    <phoneticPr fontId="1"/>
  </si>
  <si>
    <t>BLING初動レビュー/改善</t>
    <rPh sb="5" eb="7">
      <t>ショドウ</t>
    </rPh>
    <rPh sb="12" eb="14">
      <t>カイゼン</t>
    </rPh>
    <phoneticPr fontId="1"/>
  </si>
  <si>
    <t>EEZOQ2テコ入れ</t>
    <rPh sb="8" eb="9">
      <t>イ</t>
    </rPh>
    <phoneticPr fontId="1"/>
  </si>
  <si>
    <t>EEZO toB 登録に備える</t>
    <rPh sb="9" eb="11">
      <t>トウロク</t>
    </rPh>
    <rPh sb="12" eb="13">
      <t>ソナ</t>
    </rPh>
    <phoneticPr fontId="1"/>
  </si>
  <si>
    <t>週次進捗と営業ワークフローの突合せ、修正</t>
    <rPh sb="0" eb="2">
      <t>シュウジ</t>
    </rPh>
    <rPh sb="2" eb="4">
      <t>シンチョク</t>
    </rPh>
    <rPh sb="5" eb="7">
      <t>エイギョウ</t>
    </rPh>
    <rPh sb="14" eb="16">
      <t>ツキアワ</t>
    </rPh>
    <rPh sb="18" eb="20">
      <t>シュウセイ</t>
    </rPh>
    <phoneticPr fontId="1"/>
  </si>
  <si>
    <t>EEZOセリングアイデア見直し</t>
    <rPh sb="12" eb="14">
      <t>ミナオ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</si>
</sst>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m\-dd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2"/>
      <scheme val="minor"/>
    </font>
    <font>
      <sz val="11"/>
      <name val="游ゴシック"/>
      <family val="3"/>
      <charset val="128"/>
      <scheme val="minor"/>
    </font>
    <font>
      <sz val="11"/>
      <color theme="1"/>
      <name val="Calibri"/>
      <family val="2"/>
      <charset val="1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1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6" fillId="0" borderId="0"/>
  </cellStyleXfs>
  <cellXfs count="4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1" applyBorder="1"/>
    <xf numFmtId="14" fontId="0" fillId="0" borderId="1" xfId="0" applyNumberFormat="1" applyBorder="1">
      <alignment vertical="center"/>
    </xf>
    <xf numFmtId="20" fontId="0" fillId="0" borderId="1" xfId="0" applyNumberFormat="1" applyBorder="1">
      <alignment vertical="center"/>
    </xf>
    <xf numFmtId="0" fontId="3" fillId="0" borderId="1" xfId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0" fontId="0" fillId="0" borderId="1" xfId="0" applyFill="1" applyBorder="1">
      <alignment vertical="center"/>
    </xf>
    <xf numFmtId="14" fontId="0" fillId="0" borderId="1" xfId="0" quotePrefix="1" applyNumberFormat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quotePrefix="1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0" xfId="2" applyFont="1"/>
    <xf numFmtId="0" fontId="8" fillId="0" borderId="0" xfId="2" applyFont="1"/>
    <xf numFmtId="0" fontId="9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/>
    </xf>
    <xf numFmtId="0" fontId="7" fillId="0" borderId="1" xfId="2" applyFont="1" applyBorder="1"/>
    <xf numFmtId="0" fontId="7" fillId="0" borderId="2" xfId="2" applyFont="1" applyBorder="1" applyAlignment="1">
      <alignment horizontal="center"/>
    </xf>
    <xf numFmtId="0" fontId="7" fillId="0" borderId="2" xfId="2" applyFont="1" applyBorder="1"/>
    <xf numFmtId="0" fontId="9" fillId="0" borderId="0" xfId="2" applyFont="1" applyAlignment="1">
      <alignment horizontal="right"/>
    </xf>
    <xf numFmtId="0" fontId="9" fillId="0" borderId="0" xfId="2" applyFont="1" applyAlignment="1">
      <alignment horizontal="center"/>
    </xf>
    <xf numFmtId="0" fontId="9" fillId="0" borderId="0" xfId="2" applyFont="1"/>
    <xf numFmtId="0" fontId="8" fillId="0" borderId="1" xfId="2" applyFont="1" applyBorder="1"/>
    <xf numFmtId="0" fontId="9" fillId="0" borderId="1" xfId="2" applyFont="1" applyBorder="1" applyAlignment="1">
      <alignment horizontal="center"/>
    </xf>
    <xf numFmtId="176" fontId="7" fillId="0" borderId="1" xfId="2" applyNumberFormat="1" applyFont="1" applyBorder="1" applyAlignment="1">
      <alignment horizontal="center"/>
    </xf>
    <xf numFmtId="176" fontId="7" fillId="0" borderId="2" xfId="2" applyNumberFormat="1" applyFont="1" applyBorder="1" applyAlignment="1">
      <alignment horizontal="center"/>
    </xf>
    <xf numFmtId="0" fontId="7" fillId="2" borderId="0" xfId="2" applyFont="1" applyFill="1"/>
    <xf numFmtId="0" fontId="8" fillId="2" borderId="0" xfId="2" applyFont="1" applyFill="1"/>
    <xf numFmtId="0" fontId="9" fillId="2" borderId="1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76" fontId="7" fillId="2" borderId="1" xfId="2" applyNumberFormat="1" applyFont="1" applyFill="1" applyBorder="1" applyAlignment="1">
      <alignment horizontal="center"/>
    </xf>
    <xf numFmtId="0" fontId="8" fillId="2" borderId="1" xfId="2" applyFont="1" applyFill="1" applyBorder="1"/>
    <xf numFmtId="0" fontId="7" fillId="2" borderId="2" xfId="2" applyFont="1" applyFill="1" applyBorder="1" applyAlignment="1">
      <alignment horizontal="center"/>
    </xf>
    <xf numFmtId="0" fontId="7" fillId="2" borderId="2" xfId="2" applyFont="1" applyFill="1" applyBorder="1"/>
    <xf numFmtId="176" fontId="7" fillId="2" borderId="2" xfId="2" applyNumberFormat="1" applyFont="1" applyFill="1" applyBorder="1" applyAlignment="1">
      <alignment horizontal="center"/>
    </xf>
    <xf numFmtId="0" fontId="9" fillId="2" borderId="0" xfId="2" applyFont="1" applyFill="1" applyAlignment="1">
      <alignment horizontal="right"/>
    </xf>
    <xf numFmtId="0" fontId="9" fillId="2" borderId="0" xfId="2" applyFont="1" applyFill="1" applyAlignment="1">
      <alignment horizontal="center"/>
    </xf>
    <xf numFmtId="0" fontId="9" fillId="2" borderId="0" xfId="2" applyFont="1" applyFill="1"/>
    <xf numFmtId="0" fontId="9" fillId="2" borderId="1" xfId="2" applyFont="1" applyFill="1" applyBorder="1" applyAlignment="1">
      <alignment horizontal="center"/>
    </xf>
    <xf numFmtId="0" fontId="10" fillId="0" borderId="0" xfId="2" applyFont="1" applyAlignment="1">
      <alignment horizontal="right"/>
    </xf>
  </cellXfs>
  <cellStyles count="3">
    <cellStyle name="標準" xfId="0" builtinId="0"/>
    <cellStyle name="標準 2" xfId="1" xr:uid="{F77A7147-C31F-4704-A791-28F3CF5781FE}"/>
    <cellStyle name="標準 3" xfId="2" xr:uid="{AE6C02FF-F994-492F-B4AA-BB6DDC032E1A}"/>
  </cellStyles>
  <dxfs count="30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467F-F849-4A53-AC3B-40DC2C5C5585}">
  <sheetPr>
    <pageSetUpPr fitToPage="1"/>
  </sheetPr>
  <dimension ref="A1:G56"/>
  <sheetViews>
    <sheetView tabSelected="1" topLeftCell="A4" zoomScaleNormal="100" workbookViewId="0">
      <selection activeCell="A4" sqref="A4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26-07-27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>ROW(A5)-4</f>
        <v>1</v>
      </c>
      <c r="B5" s="18" t="s">
        <v>270</v>
      </c>
      <c r="C5" s="17">
        <v>2</v>
      </c>
      <c r="D5" s="17" t="s">
        <v>149</v>
      </c>
      <c r="E5" s="17" t="s">
        <v>194</v>
      </c>
      <c r="F5" s="17" t="s">
        <v>212</v>
      </c>
      <c r="G5" s="26">
        <v>46230</v>
      </c>
    </row>
    <row r="6" spans="1:7" x14ac:dyDescent="0.45">
      <c r="A6" s="17">
        <f>ROW(A6)-4</f>
        <v>2</v>
      </c>
      <c r="B6" s="18" t="s">
        <v>271</v>
      </c>
      <c r="C6" s="17">
        <v>5</v>
      </c>
      <c r="D6" s="17" t="s">
        <v>194</v>
      </c>
      <c r="E6" s="17" t="s">
        <v>194</v>
      </c>
      <c r="F6" s="17"/>
      <c r="G6" s="26">
        <v>46227</v>
      </c>
    </row>
    <row r="7" spans="1:7" x14ac:dyDescent="0.45">
      <c r="A7" s="17">
        <f>ROW(A7)-4</f>
        <v>3</v>
      </c>
      <c r="B7" s="32" t="s">
        <v>268</v>
      </c>
      <c r="C7" s="31">
        <v>5</v>
      </c>
      <c r="D7" s="17" t="s">
        <v>194</v>
      </c>
      <c r="E7" s="17" t="s">
        <v>194</v>
      </c>
      <c r="F7" s="31"/>
      <c r="G7" s="26">
        <v>46224</v>
      </c>
    </row>
    <row r="8" spans="1:7" x14ac:dyDescent="0.45">
      <c r="A8" s="17">
        <f>ROW(A8)-4</f>
        <v>4</v>
      </c>
      <c r="B8" s="18" t="s">
        <v>269</v>
      </c>
      <c r="C8" s="17">
        <v>3</v>
      </c>
      <c r="D8" s="17" t="s">
        <v>194</v>
      </c>
      <c r="E8" s="17" t="s">
        <v>194</v>
      </c>
      <c r="F8" s="17"/>
      <c r="G8" s="26">
        <v>46224</v>
      </c>
    </row>
    <row r="9" spans="1:7" x14ac:dyDescent="0.45">
      <c r="A9" s="17">
        <f>ROW(A9)-4</f>
        <v>5</v>
      </c>
      <c r="B9" s="18" t="s">
        <v>267</v>
      </c>
      <c r="C9" s="17">
        <v>2</v>
      </c>
      <c r="D9" s="17" t="s">
        <v>149</v>
      </c>
      <c r="E9" s="17" t="s">
        <v>194</v>
      </c>
      <c r="F9" s="17"/>
      <c r="G9" s="26">
        <v>46216</v>
      </c>
    </row>
    <row r="10" spans="1:7" x14ac:dyDescent="0.45">
      <c r="A10" s="17">
        <f>ROW(A10)-4</f>
        <v>6</v>
      </c>
      <c r="B10" s="18" t="s">
        <v>265</v>
      </c>
      <c r="C10" s="17">
        <v>2</v>
      </c>
      <c r="D10" s="17" t="s">
        <v>194</v>
      </c>
      <c r="E10" s="17" t="s">
        <v>194</v>
      </c>
      <c r="F10" s="17"/>
      <c r="G10" s="26">
        <v>46213</v>
      </c>
    </row>
    <row r="11" spans="1:7" x14ac:dyDescent="0.45">
      <c r="A11" s="17">
        <f>ROW(A11)-4</f>
        <v>7</v>
      </c>
      <c r="B11" s="18" t="s">
        <v>264</v>
      </c>
      <c r="C11" s="17">
        <v>3</v>
      </c>
      <c r="D11" s="17" t="s">
        <v>194</v>
      </c>
      <c r="E11" s="17" t="s">
        <v>194</v>
      </c>
      <c r="F11" s="17"/>
      <c r="G11" s="26">
        <v>46212</v>
      </c>
    </row>
    <row r="12" spans="1:7" x14ac:dyDescent="0.45">
      <c r="A12" s="17">
        <f>ROW(A12)-4</f>
        <v>8</v>
      </c>
      <c r="B12" s="18" t="s">
        <v>266</v>
      </c>
      <c r="C12" s="17">
        <v>5</v>
      </c>
      <c r="D12" s="17" t="s">
        <v>149</v>
      </c>
      <c r="E12" s="17" t="s">
        <v>194</v>
      </c>
      <c r="F12" s="17"/>
      <c r="G12" s="26">
        <v>46210</v>
      </c>
    </row>
    <row r="13" spans="1:7" x14ac:dyDescent="0.45">
      <c r="A13" s="17">
        <f>ROW(A13)-4</f>
        <v>9</v>
      </c>
      <c r="B13" s="18" t="s">
        <v>261</v>
      </c>
      <c r="C13" s="17">
        <v>3</v>
      </c>
      <c r="D13" s="17" t="s">
        <v>149</v>
      </c>
      <c r="E13" s="17" t="s">
        <v>194</v>
      </c>
      <c r="F13" s="17"/>
      <c r="G13" s="26">
        <v>46206</v>
      </c>
    </row>
    <row r="14" spans="1:7" x14ac:dyDescent="0.45">
      <c r="A14" s="17">
        <f>ROW(A14)-4</f>
        <v>10</v>
      </c>
      <c r="B14" s="18" t="s">
        <v>262</v>
      </c>
      <c r="C14" s="17">
        <v>3</v>
      </c>
      <c r="D14" s="17" t="s">
        <v>149</v>
      </c>
      <c r="E14" s="17" t="s">
        <v>194</v>
      </c>
      <c r="F14" s="17"/>
      <c r="G14" s="26">
        <v>46204</v>
      </c>
    </row>
    <row r="15" spans="1:7" x14ac:dyDescent="0.45">
      <c r="A15" s="17">
        <f>ROW(A15)-4</f>
        <v>11</v>
      </c>
      <c r="B15" s="18" t="s">
        <v>258</v>
      </c>
      <c r="C15" s="17">
        <v>3</v>
      </c>
      <c r="D15" s="17" t="s">
        <v>149</v>
      </c>
      <c r="E15" s="17" t="s">
        <v>194</v>
      </c>
      <c r="F15" s="17"/>
      <c r="G15" s="26">
        <v>46204</v>
      </c>
    </row>
    <row r="16" spans="1:7" x14ac:dyDescent="0.45">
      <c r="A16" s="17">
        <f>ROW(A16)-4</f>
        <v>12</v>
      </c>
      <c r="B16" s="18" t="s">
        <v>243</v>
      </c>
      <c r="C16" s="17">
        <v>1</v>
      </c>
      <c r="D16" s="17" t="s">
        <v>149</v>
      </c>
      <c r="E16" s="17" t="s">
        <v>194</v>
      </c>
      <c r="F16" s="17"/>
      <c r="G16" s="26">
        <v>46177</v>
      </c>
    </row>
    <row r="17" spans="1:7" x14ac:dyDescent="0.45">
      <c r="A17" s="17">
        <f>ROW(A17)-4</f>
        <v>13</v>
      </c>
      <c r="B17" s="18" t="s">
        <v>230</v>
      </c>
      <c r="C17" s="17">
        <v>1</v>
      </c>
      <c r="D17" s="17" t="s">
        <v>194</v>
      </c>
      <c r="E17" s="17" t="s">
        <v>149</v>
      </c>
      <c r="F17" s="17" t="s">
        <v>212</v>
      </c>
      <c r="G17" s="26">
        <v>46143</v>
      </c>
    </row>
    <row r="18" spans="1:7" x14ac:dyDescent="0.45">
      <c r="A18" s="17">
        <f>ROW(A18)-4</f>
        <v>14</v>
      </c>
      <c r="B18" s="18" t="s">
        <v>215</v>
      </c>
      <c r="C18" s="17">
        <v>2</v>
      </c>
      <c r="D18" s="17" t="s">
        <v>194</v>
      </c>
      <c r="E18" s="17" t="s">
        <v>194</v>
      </c>
      <c r="F18" s="17" t="s">
        <v>212</v>
      </c>
      <c r="G18" s="26">
        <v>46115</v>
      </c>
    </row>
    <row r="19" spans="1:7" x14ac:dyDescent="0.45">
      <c r="A19" s="17">
        <f>ROW(A19)-4</f>
        <v>15</v>
      </c>
      <c r="B19" s="18" t="s">
        <v>259</v>
      </c>
      <c r="C19" s="17">
        <v>3</v>
      </c>
      <c r="D19" s="17" t="s">
        <v>195</v>
      </c>
      <c r="E19" s="17" t="s">
        <v>194</v>
      </c>
      <c r="F19" s="17"/>
      <c r="G19" s="26">
        <v>46205</v>
      </c>
    </row>
    <row r="20" spans="1:7" x14ac:dyDescent="0.45">
      <c r="A20" s="17">
        <f>ROW(A20)-4</f>
        <v>16</v>
      </c>
      <c r="B20" s="18" t="s">
        <v>197</v>
      </c>
      <c r="C20" s="17">
        <v>3</v>
      </c>
      <c r="D20" s="17" t="s">
        <v>195</v>
      </c>
      <c r="E20" s="17" t="s">
        <v>194</v>
      </c>
      <c r="F20" s="17"/>
      <c r="G20" s="26">
        <v>46104</v>
      </c>
    </row>
    <row r="21" spans="1:7" x14ac:dyDescent="0.45">
      <c r="A21" s="17">
        <f>ROW(A21)-4</f>
        <v>17</v>
      </c>
      <c r="B21" s="18" t="s">
        <v>203</v>
      </c>
      <c r="C21" s="17">
        <v>1</v>
      </c>
      <c r="D21" s="17" t="s">
        <v>160</v>
      </c>
      <c r="E21" s="17" t="s">
        <v>149</v>
      </c>
      <c r="F21" s="17"/>
      <c r="G21" s="26">
        <v>46101</v>
      </c>
    </row>
    <row r="22" spans="1:7" x14ac:dyDescent="0.45">
      <c r="A22" s="17">
        <f>ROW(A22)-4</f>
        <v>18</v>
      </c>
      <c r="B22" s="18" t="s">
        <v>202</v>
      </c>
      <c r="C22" s="17">
        <v>1</v>
      </c>
      <c r="D22" s="17" t="s">
        <v>160</v>
      </c>
      <c r="E22" s="17" t="s">
        <v>149</v>
      </c>
      <c r="F22" s="17"/>
      <c r="G22" s="26">
        <v>46100</v>
      </c>
    </row>
    <row r="23" spans="1:7" x14ac:dyDescent="0.45">
      <c r="A23" s="17">
        <f>ROW(A23)-4</f>
        <v>19</v>
      </c>
      <c r="B23" s="18" t="s">
        <v>255</v>
      </c>
      <c r="C23" s="17">
        <v>2</v>
      </c>
      <c r="D23" s="17" t="s">
        <v>149</v>
      </c>
      <c r="E23" s="17" t="s">
        <v>157</v>
      </c>
      <c r="F23" s="17"/>
      <c r="G23" s="26">
        <v>46195</v>
      </c>
    </row>
    <row r="24" spans="1:7" x14ac:dyDescent="0.45">
      <c r="A24" s="17">
        <f>ROW(A24)-4</f>
        <v>20</v>
      </c>
      <c r="B24" s="18" t="s">
        <v>251</v>
      </c>
      <c r="C24" s="17">
        <v>1</v>
      </c>
      <c r="D24" s="17" t="s">
        <v>194</v>
      </c>
      <c r="E24" s="17" t="s">
        <v>195</v>
      </c>
      <c r="F24" s="17"/>
      <c r="G24" s="26">
        <v>46181</v>
      </c>
    </row>
    <row r="25" spans="1:7" x14ac:dyDescent="0.45">
      <c r="A25" s="17">
        <f>ROW(A25)-4</f>
        <v>21</v>
      </c>
      <c r="B25" s="18" t="s">
        <v>250</v>
      </c>
      <c r="C25" s="17">
        <v>3</v>
      </c>
      <c r="D25" s="17" t="s">
        <v>149</v>
      </c>
      <c r="E25" s="17" t="s">
        <v>157</v>
      </c>
      <c r="F25" s="17" t="s">
        <v>212</v>
      </c>
      <c r="G25" s="26">
        <v>46178</v>
      </c>
    </row>
    <row r="26" spans="1:7" x14ac:dyDescent="0.45">
      <c r="A26" s="17">
        <f>ROW(A26)-4</f>
        <v>22</v>
      </c>
      <c r="B26" s="18" t="s">
        <v>237</v>
      </c>
      <c r="C26" s="17">
        <v>1</v>
      </c>
      <c r="D26" s="17" t="s">
        <v>194</v>
      </c>
      <c r="E26" s="17" t="s">
        <v>195</v>
      </c>
      <c r="F26" s="17"/>
      <c r="G26" s="26">
        <v>46129</v>
      </c>
    </row>
    <row r="27" spans="1:7" x14ac:dyDescent="0.45">
      <c r="A27" s="17">
        <f>ROW(A27)-4</f>
        <v>23</v>
      </c>
      <c r="B27" s="18" t="s">
        <v>224</v>
      </c>
      <c r="C27" s="17">
        <v>1</v>
      </c>
      <c r="D27" s="17" t="s">
        <v>194</v>
      </c>
      <c r="E27" s="17" t="s">
        <v>195</v>
      </c>
      <c r="F27" s="17"/>
      <c r="G27" s="26">
        <v>46122</v>
      </c>
    </row>
    <row r="28" spans="1:7" x14ac:dyDescent="0.45">
      <c r="A28" s="17">
        <f>ROW(A28)-4</f>
        <v>24</v>
      </c>
      <c r="B28" s="18" t="s">
        <v>205</v>
      </c>
      <c r="C28" s="17">
        <v>1</v>
      </c>
      <c r="D28" s="17" t="s">
        <v>149</v>
      </c>
      <c r="E28" s="17" t="s">
        <v>195</v>
      </c>
      <c r="F28" s="17"/>
      <c r="G28" s="26">
        <v>46111</v>
      </c>
    </row>
    <row r="29" spans="1:7" x14ac:dyDescent="0.45">
      <c r="A29" s="17">
        <f>ROW(A29)-4</f>
        <v>25</v>
      </c>
      <c r="B29" s="18" t="s">
        <v>167</v>
      </c>
      <c r="C29" s="17">
        <v>1</v>
      </c>
      <c r="D29" s="17" t="s">
        <v>149</v>
      </c>
      <c r="E29" s="17" t="s">
        <v>157</v>
      </c>
      <c r="F29" s="17"/>
      <c r="G29" s="26">
        <v>46097</v>
      </c>
    </row>
    <row r="30" spans="1:7" x14ac:dyDescent="0.45">
      <c r="A30" s="17">
        <f>ROW(A30)-4</f>
        <v>26</v>
      </c>
      <c r="B30" s="18" t="s">
        <v>168</v>
      </c>
      <c r="C30" s="17">
        <v>1</v>
      </c>
      <c r="D30" s="17" t="s">
        <v>149</v>
      </c>
      <c r="E30" s="17" t="s">
        <v>157</v>
      </c>
      <c r="F30" s="17"/>
      <c r="G30" s="26">
        <v>46097</v>
      </c>
    </row>
    <row r="31" spans="1:7" x14ac:dyDescent="0.45">
      <c r="A31" s="17">
        <f>ROW(A31)-4</f>
        <v>27</v>
      </c>
      <c r="B31" s="18" t="s">
        <v>192</v>
      </c>
      <c r="C31" s="17">
        <v>2</v>
      </c>
      <c r="D31" s="17" t="s">
        <v>149</v>
      </c>
      <c r="E31" s="17" t="s">
        <v>195</v>
      </c>
      <c r="F31" s="17"/>
      <c r="G31" s="26">
        <v>46083</v>
      </c>
    </row>
    <row r="32" spans="1:7" x14ac:dyDescent="0.45">
      <c r="A32" s="17">
        <f>ROW(A32)-4</f>
        <v>28</v>
      </c>
      <c r="B32" s="18" t="s">
        <v>171</v>
      </c>
      <c r="C32" s="17">
        <v>1</v>
      </c>
      <c r="D32" s="17" t="s">
        <v>149</v>
      </c>
      <c r="E32" s="17" t="s">
        <v>157</v>
      </c>
      <c r="F32" s="17"/>
      <c r="G32" s="26">
        <v>46083</v>
      </c>
    </row>
    <row r="33" spans="1:7" x14ac:dyDescent="0.45">
      <c r="A33" s="17">
        <f>ROW(A33)-4</f>
        <v>29</v>
      </c>
      <c r="B33" s="18" t="s">
        <v>124</v>
      </c>
      <c r="C33" s="17">
        <v>1</v>
      </c>
      <c r="D33" s="17" t="s">
        <v>149</v>
      </c>
      <c r="E33" s="17" t="s">
        <v>157</v>
      </c>
      <c r="F33" s="17" t="s">
        <v>158</v>
      </c>
      <c r="G33" s="26">
        <v>46083</v>
      </c>
    </row>
    <row r="34" spans="1:7" x14ac:dyDescent="0.45">
      <c r="A34" s="17">
        <f>ROW(A34)-4</f>
        <v>30</v>
      </c>
      <c r="B34" s="18" t="s">
        <v>126</v>
      </c>
      <c r="C34" s="17">
        <v>1</v>
      </c>
      <c r="D34" s="17" t="s">
        <v>149</v>
      </c>
      <c r="E34" s="17" t="s">
        <v>195</v>
      </c>
      <c r="F34" s="17"/>
      <c r="G34" s="26">
        <v>46083</v>
      </c>
    </row>
    <row r="35" spans="1:7" x14ac:dyDescent="0.45">
      <c r="A35" s="17">
        <f>ROW(A35)-4</f>
        <v>31</v>
      </c>
      <c r="B35" s="18" t="s">
        <v>180</v>
      </c>
      <c r="C35" s="17">
        <v>1</v>
      </c>
      <c r="D35" s="17" t="s">
        <v>149</v>
      </c>
      <c r="E35" s="17" t="s">
        <v>195</v>
      </c>
      <c r="F35" s="17" t="s">
        <v>158</v>
      </c>
      <c r="G35" s="26">
        <v>46080</v>
      </c>
    </row>
    <row r="36" spans="1:7" x14ac:dyDescent="0.45">
      <c r="A36" s="17">
        <f>ROW(A36)-4</f>
        <v>32</v>
      </c>
      <c r="B36" s="32" t="s">
        <v>226</v>
      </c>
      <c r="C36" s="31">
        <v>2</v>
      </c>
      <c r="D36" s="31" t="s">
        <v>157</v>
      </c>
      <c r="E36" s="31" t="s">
        <v>157</v>
      </c>
      <c r="F36" s="31" t="s">
        <v>212</v>
      </c>
      <c r="G36" s="33">
        <v>46128</v>
      </c>
    </row>
    <row r="37" spans="1:7" x14ac:dyDescent="0.45">
      <c r="A37" s="17">
        <f>ROW(A37)-4</f>
        <v>33</v>
      </c>
      <c r="B37" s="18" t="s">
        <v>179</v>
      </c>
      <c r="C37" s="17">
        <v>2</v>
      </c>
      <c r="D37" s="17" t="s">
        <v>149</v>
      </c>
      <c r="E37" s="17" t="s">
        <v>160</v>
      </c>
      <c r="F37" s="17" t="s">
        <v>158</v>
      </c>
      <c r="G37" s="26">
        <v>46097</v>
      </c>
    </row>
    <row r="38" spans="1:7" x14ac:dyDescent="0.45">
      <c r="A38" s="17">
        <f>ROW(A38)-4</f>
        <v>34</v>
      </c>
      <c r="B38" s="18" t="s">
        <v>187</v>
      </c>
      <c r="C38" s="17">
        <v>3</v>
      </c>
      <c r="D38" s="17" t="s">
        <v>149</v>
      </c>
      <c r="E38" s="17" t="s">
        <v>160</v>
      </c>
      <c r="F38" s="17" t="s">
        <v>158</v>
      </c>
      <c r="G38" s="26">
        <v>46090</v>
      </c>
    </row>
    <row r="39" spans="1:7" x14ac:dyDescent="0.45">
      <c r="A39" s="17">
        <f>ROW(A39)-4</f>
        <v>35</v>
      </c>
      <c r="B39" s="18" t="s">
        <v>182</v>
      </c>
      <c r="C39" s="17">
        <v>1</v>
      </c>
      <c r="D39" s="17" t="s">
        <v>149</v>
      </c>
      <c r="E39" s="17" t="s">
        <v>160</v>
      </c>
      <c r="F39" s="17"/>
      <c r="G39" s="26">
        <v>46078</v>
      </c>
    </row>
    <row r="40" spans="1:7" x14ac:dyDescent="0.45">
      <c r="A40" s="17">
        <f>ROW(A40)-4</f>
        <v>36</v>
      </c>
      <c r="B40" s="18" t="s">
        <v>184</v>
      </c>
      <c r="C40" s="17">
        <v>0.5</v>
      </c>
      <c r="D40" s="17" t="s">
        <v>160</v>
      </c>
      <c r="E40" s="17" t="s">
        <v>160</v>
      </c>
      <c r="F40" s="17"/>
      <c r="G40" s="26">
        <v>46078</v>
      </c>
    </row>
    <row r="41" spans="1:7" x14ac:dyDescent="0.45">
      <c r="A41" s="17">
        <f>ROW(A41)-4</f>
        <v>37</v>
      </c>
      <c r="B41" s="18" t="s">
        <v>186</v>
      </c>
      <c r="C41" s="17">
        <v>0.5</v>
      </c>
      <c r="D41" s="17" t="s">
        <v>160</v>
      </c>
      <c r="E41" s="17" t="s">
        <v>160</v>
      </c>
      <c r="F41" s="17"/>
      <c r="G41" s="26">
        <v>46077</v>
      </c>
    </row>
    <row r="42" spans="1:7" x14ac:dyDescent="0.45">
      <c r="A42" s="17">
        <f>ROW(A42)-4</f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>ROW(A43)-4</f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>ROW(A44)-4</f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>ROW(A45)-4</f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>ROW(A46)-4</f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>ROW(A47)-4</f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>ROW(A48)-4</f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74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0">SUMIFS($C$5:$C$48,$D$5:$D$48,D$52,$E$5:$E$48,$C53)</f>
        <v>40</v>
      </c>
      <c r="E53" s="17">
        <f t="shared" si="0"/>
        <v>6</v>
      </c>
      <c r="F53" s="17">
        <f t="shared" si="0"/>
        <v>2</v>
      </c>
      <c r="G53" s="17">
        <f>SUM(D53:F53)</f>
        <v>48</v>
      </c>
    </row>
    <row r="54" spans="2:7" x14ac:dyDescent="0.45">
      <c r="B54" s="21" t="s">
        <v>190</v>
      </c>
      <c r="C54" s="25" t="s">
        <v>157</v>
      </c>
      <c r="D54" s="17">
        <f t="shared" si="0"/>
        <v>17</v>
      </c>
      <c r="E54" s="17">
        <f t="shared" si="0"/>
        <v>2</v>
      </c>
      <c r="F54" s="17">
        <f t="shared" si="0"/>
        <v>0</v>
      </c>
      <c r="G54" s="17">
        <f>SUM(D54:F54)</f>
        <v>19</v>
      </c>
    </row>
    <row r="55" spans="2:7" x14ac:dyDescent="0.45">
      <c r="B55" s="21" t="s">
        <v>191</v>
      </c>
      <c r="C55" s="25" t="s">
        <v>160</v>
      </c>
      <c r="D55" s="17">
        <f t="shared" si="0"/>
        <v>6</v>
      </c>
      <c r="E55" s="17">
        <f t="shared" si="0"/>
        <v>0</v>
      </c>
      <c r="F55" s="17">
        <f t="shared" si="0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63</v>
      </c>
      <c r="E56" s="25">
        <f>SUM(E53:E55)</f>
        <v>8</v>
      </c>
      <c r="F56" s="25">
        <f>SUM(F53:F55)</f>
        <v>3</v>
      </c>
      <c r="G56" s="25">
        <f>SUM(G53:G55)</f>
        <v>74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38" priority="37" operator="containsText" text="低">
      <formula>NOT(ISERROR(SEARCH("低",D7)))</formula>
    </cfRule>
    <cfRule type="containsText" dxfId="37" priority="38" operator="containsText" text="中">
      <formula>NOT(ISERROR(SEARCH("中",D7)))</formula>
    </cfRule>
    <cfRule type="containsText" dxfId="36" priority="39" operator="containsText" text="高">
      <formula>NOT(ISERROR(SEARCH("高",D7)))</formula>
    </cfRule>
  </conditionalFormatting>
  <conditionalFormatting sqref="D37:E37">
    <cfRule type="containsText" dxfId="35" priority="34" operator="containsText" text="低">
      <formula>NOT(ISERROR(SEARCH("低",D37)))</formula>
    </cfRule>
    <cfRule type="containsText" dxfId="34" priority="35" operator="containsText" text="中">
      <formula>NOT(ISERROR(SEARCH("中",D37)))</formula>
    </cfRule>
    <cfRule type="containsText" dxfId="33" priority="36" operator="containsText" text="高">
      <formula>NOT(ISERROR(SEARCH("高",D37)))</formula>
    </cfRule>
  </conditionalFormatting>
  <conditionalFormatting sqref="D36:E36">
    <cfRule type="containsText" dxfId="32" priority="31" operator="containsText" text="低">
      <formula>NOT(ISERROR(SEARCH("低",D36)))</formula>
    </cfRule>
    <cfRule type="containsText" dxfId="31" priority="32" operator="containsText" text="中">
      <formula>NOT(ISERROR(SEARCH("中",D36)))</formula>
    </cfRule>
    <cfRule type="containsText" dxfId="30" priority="33" operator="containsText" text="高">
      <formula>NOT(ISERROR(SEARCH("高",D36)))</formula>
    </cfRule>
  </conditionalFormatting>
  <conditionalFormatting sqref="D42:E42">
    <cfRule type="containsText" dxfId="29" priority="28" operator="containsText" text="低">
      <formula>NOT(ISERROR(SEARCH("低",D42)))</formula>
    </cfRule>
    <cfRule type="containsText" dxfId="28" priority="29" operator="containsText" text="中">
      <formula>NOT(ISERROR(SEARCH("中",D42)))</formula>
    </cfRule>
    <cfRule type="containsText" dxfId="27" priority="30" operator="containsText" text="高">
      <formula>NOT(ISERROR(SEARCH("高",D42)))</formula>
    </cfRule>
  </conditionalFormatting>
  <conditionalFormatting sqref="D43:E43">
    <cfRule type="containsText" dxfId="26" priority="25" operator="containsText" text="低">
      <formula>NOT(ISERROR(SEARCH("低",D43)))</formula>
    </cfRule>
    <cfRule type="containsText" dxfId="25" priority="26" operator="containsText" text="中">
      <formula>NOT(ISERROR(SEARCH("中",D43)))</formula>
    </cfRule>
    <cfRule type="containsText" dxfId="24" priority="27" operator="containsText" text="高">
      <formula>NOT(ISERROR(SEARCH("高",D43)))</formula>
    </cfRule>
  </conditionalFormatting>
  <conditionalFormatting sqref="D5:E6">
    <cfRule type="containsText" dxfId="23" priority="22" operator="containsText" text="低">
      <formula>NOT(ISERROR(SEARCH("低",D5)))</formula>
    </cfRule>
    <cfRule type="containsText" dxfId="22" priority="23" operator="containsText" text="中">
      <formula>NOT(ISERROR(SEARCH("中",D5)))</formula>
    </cfRule>
    <cfRule type="containsText" dxfId="21" priority="24" operator="containsText" text="高">
      <formula>NOT(ISERROR(SEARCH("高",D5)))</formula>
    </cfRule>
  </conditionalFormatting>
  <conditionalFormatting sqref="D38">
    <cfRule type="containsText" dxfId="20" priority="19" operator="containsText" text="低">
      <formula>NOT(ISERROR(SEARCH("低",D38)))</formula>
    </cfRule>
    <cfRule type="containsText" dxfId="19" priority="20" operator="containsText" text="中">
      <formula>NOT(ISERROR(SEARCH("中",D38)))</formula>
    </cfRule>
    <cfRule type="containsText" dxfId="18" priority="21" operator="containsText" text="高">
      <formula>NOT(ISERROR(SEARCH("高",D38)))</formula>
    </cfRule>
  </conditionalFormatting>
  <conditionalFormatting sqref="E38">
    <cfRule type="containsText" dxfId="17" priority="16" operator="containsText" text="低">
      <formula>NOT(ISERROR(SEARCH("低",E38)))</formula>
    </cfRule>
    <cfRule type="containsText" dxfId="16" priority="17" operator="containsText" text="中">
      <formula>NOT(ISERROR(SEARCH("中",E38)))</formula>
    </cfRule>
    <cfRule type="containsText" dxfId="15" priority="18" operator="containsText" text="高">
      <formula>NOT(ISERROR(SEARCH("高",E38)))</formula>
    </cfRule>
  </conditionalFormatting>
  <conditionalFormatting sqref="D40:E40">
    <cfRule type="containsText" dxfId="14" priority="13" operator="containsText" text="低">
      <formula>NOT(ISERROR(SEARCH("低",D40)))</formula>
    </cfRule>
    <cfRule type="containsText" dxfId="13" priority="14" operator="containsText" text="中">
      <formula>NOT(ISERROR(SEARCH("中",D40)))</formula>
    </cfRule>
    <cfRule type="containsText" dxfId="12" priority="15" operator="containsText" text="高">
      <formula>NOT(ISERROR(SEARCH("高",D40)))</formula>
    </cfRule>
  </conditionalFormatting>
  <conditionalFormatting sqref="D44:E44">
    <cfRule type="containsText" dxfId="11" priority="10" operator="containsText" text="低">
      <formula>NOT(ISERROR(SEARCH("低",D44)))</formula>
    </cfRule>
    <cfRule type="containsText" dxfId="10" priority="11" operator="containsText" text="中">
      <formula>NOT(ISERROR(SEARCH("中",D44)))</formula>
    </cfRule>
    <cfRule type="containsText" dxfId="9" priority="12" operator="containsText" text="高">
      <formula>NOT(ISERROR(SEARCH("高",D44)))</formula>
    </cfRule>
  </conditionalFormatting>
  <conditionalFormatting sqref="D39">
    <cfRule type="containsText" dxfId="8" priority="7" operator="containsText" text="低">
      <formula>NOT(ISERROR(SEARCH("低",D39)))</formula>
    </cfRule>
    <cfRule type="containsText" dxfId="7" priority="8" operator="containsText" text="中">
      <formula>NOT(ISERROR(SEARCH("中",D39)))</formula>
    </cfRule>
    <cfRule type="containsText" dxfId="6" priority="9" operator="containsText" text="高">
      <formula>NOT(ISERROR(SEARCH("高",D39)))</formula>
    </cfRule>
  </conditionalFormatting>
  <conditionalFormatting sqref="E39">
    <cfRule type="containsText" dxfId="5" priority="4" operator="containsText" text="低">
      <formula>NOT(ISERROR(SEARCH("低",E39)))</formula>
    </cfRule>
    <cfRule type="containsText" dxfId="4" priority="5" operator="containsText" text="中">
      <formula>NOT(ISERROR(SEARCH("中",E39)))</formula>
    </cfRule>
    <cfRule type="containsText" dxfId="3" priority="6" operator="containsText" text="高">
      <formula>NOT(ISERROR(SEARCH("高",E39)))</formula>
    </cfRule>
  </conditionalFormatting>
  <conditionalFormatting sqref="D41:E41">
    <cfRule type="containsText" dxfId="2" priority="1" operator="containsText" text="低">
      <formula>NOT(ISERROR(SEARCH("低",D41)))</formula>
    </cfRule>
    <cfRule type="containsText" dxfId="1" priority="2" operator="containsText" text="中">
      <formula>NOT(ISERROR(SEARCH("中",D41)))</formula>
    </cfRule>
    <cfRule type="containsText" dxfId="0" priority="3" operator="containsText" text="高">
      <formula>NOT(ISERROR(SEARCH("高",D41)))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0251-9947-4EDE-A031-64BB971A68B2}">
  <sheetPr>
    <pageSetUpPr fitToPage="1"/>
  </sheetPr>
  <dimension ref="A1:G56"/>
  <sheetViews>
    <sheetView topLeftCell="A23" zoomScaleNormal="100" workbookViewId="0">
      <selection activeCell="B40" sqref="B40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26-07-20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32" t="s">
        <v>268</v>
      </c>
      <c r="C5" s="31">
        <v>5</v>
      </c>
      <c r="D5" s="17" t="s">
        <v>194</v>
      </c>
      <c r="E5" s="17" t="s">
        <v>194</v>
      </c>
      <c r="F5" s="31"/>
      <c r="G5" s="26">
        <v>46224</v>
      </c>
    </row>
    <row r="6" spans="1:7" x14ac:dyDescent="0.45">
      <c r="A6" s="17">
        <f t="shared" si="0"/>
        <v>2</v>
      </c>
      <c r="B6" s="18" t="s">
        <v>269</v>
      </c>
      <c r="C6" s="17">
        <v>3</v>
      </c>
      <c r="D6" s="17" t="s">
        <v>194</v>
      </c>
      <c r="E6" s="17" t="s">
        <v>194</v>
      </c>
      <c r="F6" s="17"/>
      <c r="G6" s="26">
        <v>46224</v>
      </c>
    </row>
    <row r="7" spans="1:7" x14ac:dyDescent="0.45">
      <c r="A7" s="17">
        <f t="shared" si="0"/>
        <v>3</v>
      </c>
      <c r="B7" s="18" t="s">
        <v>267</v>
      </c>
      <c r="C7" s="17">
        <v>2</v>
      </c>
      <c r="D7" s="17" t="s">
        <v>149</v>
      </c>
      <c r="E7" s="17" t="s">
        <v>194</v>
      </c>
      <c r="F7" s="17"/>
      <c r="G7" s="26">
        <v>46216</v>
      </c>
    </row>
    <row r="8" spans="1:7" x14ac:dyDescent="0.45">
      <c r="A8" s="17">
        <f t="shared" si="0"/>
        <v>4</v>
      </c>
      <c r="B8" s="18" t="s">
        <v>265</v>
      </c>
      <c r="C8" s="17">
        <v>2</v>
      </c>
      <c r="D8" s="17" t="s">
        <v>194</v>
      </c>
      <c r="E8" s="17" t="s">
        <v>194</v>
      </c>
      <c r="F8" s="17"/>
      <c r="G8" s="26">
        <v>46213</v>
      </c>
    </row>
    <row r="9" spans="1:7" x14ac:dyDescent="0.45">
      <c r="A9" s="17">
        <f t="shared" si="0"/>
        <v>5</v>
      </c>
      <c r="B9" s="18" t="s">
        <v>264</v>
      </c>
      <c r="C9" s="17">
        <v>3</v>
      </c>
      <c r="D9" s="17" t="s">
        <v>194</v>
      </c>
      <c r="E9" s="17" t="s">
        <v>194</v>
      </c>
      <c r="F9" s="17"/>
      <c r="G9" s="26">
        <v>46212</v>
      </c>
    </row>
    <row r="10" spans="1:7" x14ac:dyDescent="0.45">
      <c r="A10" s="17">
        <f t="shared" si="0"/>
        <v>6</v>
      </c>
      <c r="B10" s="18" t="s">
        <v>266</v>
      </c>
      <c r="C10" s="17">
        <v>5</v>
      </c>
      <c r="D10" s="17" t="s">
        <v>149</v>
      </c>
      <c r="E10" s="17" t="s">
        <v>194</v>
      </c>
      <c r="F10" s="17"/>
      <c r="G10" s="26">
        <v>46210</v>
      </c>
    </row>
    <row r="11" spans="1:7" x14ac:dyDescent="0.45">
      <c r="A11" s="17">
        <f t="shared" si="0"/>
        <v>7</v>
      </c>
      <c r="B11" s="18" t="s">
        <v>261</v>
      </c>
      <c r="C11" s="17">
        <v>3</v>
      </c>
      <c r="D11" s="17" t="s">
        <v>149</v>
      </c>
      <c r="E11" s="17" t="s">
        <v>194</v>
      </c>
      <c r="F11" s="17"/>
      <c r="G11" s="26">
        <v>46206</v>
      </c>
    </row>
    <row r="12" spans="1:7" x14ac:dyDescent="0.45">
      <c r="A12" s="17">
        <f t="shared" si="0"/>
        <v>8</v>
      </c>
      <c r="B12" s="18" t="s">
        <v>262</v>
      </c>
      <c r="C12" s="17">
        <v>3</v>
      </c>
      <c r="D12" s="17" t="s">
        <v>149</v>
      </c>
      <c r="E12" s="17" t="s">
        <v>194</v>
      </c>
      <c r="F12" s="17"/>
      <c r="G12" s="26">
        <v>46204</v>
      </c>
    </row>
    <row r="13" spans="1:7" x14ac:dyDescent="0.45">
      <c r="A13" s="17">
        <f t="shared" si="0"/>
        <v>9</v>
      </c>
      <c r="B13" s="18" t="s">
        <v>258</v>
      </c>
      <c r="C13" s="17">
        <v>3</v>
      </c>
      <c r="D13" s="17" t="s">
        <v>149</v>
      </c>
      <c r="E13" s="17" t="s">
        <v>194</v>
      </c>
      <c r="F13" s="17"/>
      <c r="G13" s="26">
        <v>46204</v>
      </c>
    </row>
    <row r="14" spans="1:7" x14ac:dyDescent="0.45">
      <c r="A14" s="17">
        <f t="shared" si="0"/>
        <v>10</v>
      </c>
      <c r="B14" s="18" t="s">
        <v>249</v>
      </c>
      <c r="C14" s="17">
        <v>2</v>
      </c>
      <c r="D14" s="17" t="s">
        <v>149</v>
      </c>
      <c r="E14" s="17" t="s">
        <v>194</v>
      </c>
      <c r="F14" s="17" t="s">
        <v>212</v>
      </c>
      <c r="G14" s="26">
        <v>46178</v>
      </c>
    </row>
    <row r="15" spans="1:7" x14ac:dyDescent="0.45">
      <c r="A15" s="17">
        <f t="shared" si="0"/>
        <v>11</v>
      </c>
      <c r="B15" s="18" t="s">
        <v>243</v>
      </c>
      <c r="C15" s="17">
        <v>1</v>
      </c>
      <c r="D15" s="17" t="s">
        <v>149</v>
      </c>
      <c r="E15" s="17" t="s">
        <v>194</v>
      </c>
      <c r="F15" s="17"/>
      <c r="G15" s="26">
        <v>46177</v>
      </c>
    </row>
    <row r="16" spans="1:7" x14ac:dyDescent="0.45">
      <c r="A16" s="17">
        <f t="shared" si="0"/>
        <v>12</v>
      </c>
      <c r="B16" s="18" t="s">
        <v>230</v>
      </c>
      <c r="C16" s="17">
        <v>1</v>
      </c>
      <c r="D16" s="17" t="s">
        <v>194</v>
      </c>
      <c r="E16" s="17" t="s">
        <v>149</v>
      </c>
      <c r="F16" s="17" t="s">
        <v>212</v>
      </c>
      <c r="G16" s="26">
        <v>46143</v>
      </c>
    </row>
    <row r="17" spans="1:7" x14ac:dyDescent="0.45">
      <c r="A17" s="17">
        <f t="shared" si="0"/>
        <v>13</v>
      </c>
      <c r="B17" s="18" t="s">
        <v>215</v>
      </c>
      <c r="C17" s="17">
        <v>2</v>
      </c>
      <c r="D17" s="17" t="s">
        <v>194</v>
      </c>
      <c r="E17" s="17" t="s">
        <v>194</v>
      </c>
      <c r="F17" s="17" t="s">
        <v>212</v>
      </c>
      <c r="G17" s="26">
        <v>46115</v>
      </c>
    </row>
    <row r="18" spans="1:7" x14ac:dyDescent="0.45">
      <c r="A18" s="17">
        <f t="shared" si="0"/>
        <v>14</v>
      </c>
      <c r="B18" s="18" t="s">
        <v>259</v>
      </c>
      <c r="C18" s="17">
        <v>3</v>
      </c>
      <c r="D18" s="17" t="s">
        <v>195</v>
      </c>
      <c r="E18" s="17" t="s">
        <v>194</v>
      </c>
      <c r="F18" s="17"/>
      <c r="G18" s="26">
        <v>46205</v>
      </c>
    </row>
    <row r="19" spans="1:7" x14ac:dyDescent="0.45">
      <c r="A19" s="17">
        <f t="shared" si="0"/>
        <v>15</v>
      </c>
      <c r="B19" s="18" t="s">
        <v>197</v>
      </c>
      <c r="C19" s="17">
        <v>3</v>
      </c>
      <c r="D19" s="17" t="s">
        <v>195</v>
      </c>
      <c r="E19" s="17" t="s">
        <v>194</v>
      </c>
      <c r="F19" s="17"/>
      <c r="G19" s="26">
        <v>46104</v>
      </c>
    </row>
    <row r="20" spans="1:7" x14ac:dyDescent="0.45">
      <c r="A20" s="17">
        <f t="shared" si="0"/>
        <v>16</v>
      </c>
      <c r="B20" s="18" t="s">
        <v>203</v>
      </c>
      <c r="C20" s="17">
        <v>1</v>
      </c>
      <c r="D20" s="17" t="s">
        <v>160</v>
      </c>
      <c r="E20" s="17" t="s">
        <v>149</v>
      </c>
      <c r="F20" s="17"/>
      <c r="G20" s="26">
        <v>46101</v>
      </c>
    </row>
    <row r="21" spans="1:7" x14ac:dyDescent="0.45">
      <c r="A21" s="17">
        <f t="shared" si="0"/>
        <v>17</v>
      </c>
      <c r="B21" s="18" t="s">
        <v>202</v>
      </c>
      <c r="C21" s="17">
        <v>1</v>
      </c>
      <c r="D21" s="17" t="s">
        <v>160</v>
      </c>
      <c r="E21" s="17" t="s">
        <v>149</v>
      </c>
      <c r="F21" s="17"/>
      <c r="G21" s="26">
        <v>46100</v>
      </c>
    </row>
    <row r="22" spans="1:7" x14ac:dyDescent="0.45">
      <c r="A22" s="17">
        <f t="shared" si="0"/>
        <v>18</v>
      </c>
      <c r="B22" s="18" t="s">
        <v>255</v>
      </c>
      <c r="C22" s="17">
        <v>2</v>
      </c>
      <c r="D22" s="17" t="s">
        <v>149</v>
      </c>
      <c r="E22" s="17" t="s">
        <v>157</v>
      </c>
      <c r="F22" s="17"/>
      <c r="G22" s="26">
        <v>46195</v>
      </c>
    </row>
    <row r="23" spans="1:7" x14ac:dyDescent="0.45">
      <c r="A23" s="17">
        <f t="shared" si="0"/>
        <v>19</v>
      </c>
      <c r="B23" s="18" t="s">
        <v>251</v>
      </c>
      <c r="C23" s="17">
        <v>1</v>
      </c>
      <c r="D23" s="17" t="s">
        <v>194</v>
      </c>
      <c r="E23" s="17" t="s">
        <v>195</v>
      </c>
      <c r="F23" s="17"/>
      <c r="G23" s="26">
        <v>46181</v>
      </c>
    </row>
    <row r="24" spans="1:7" x14ac:dyDescent="0.45">
      <c r="A24" s="17">
        <f t="shared" si="0"/>
        <v>20</v>
      </c>
      <c r="B24" s="18" t="s">
        <v>250</v>
      </c>
      <c r="C24" s="17">
        <v>3</v>
      </c>
      <c r="D24" s="17" t="s">
        <v>149</v>
      </c>
      <c r="E24" s="17" t="s">
        <v>157</v>
      </c>
      <c r="F24" s="17" t="s">
        <v>212</v>
      </c>
      <c r="G24" s="26">
        <v>46178</v>
      </c>
    </row>
    <row r="25" spans="1:7" x14ac:dyDescent="0.45">
      <c r="A25" s="17">
        <f t="shared" si="0"/>
        <v>21</v>
      </c>
      <c r="B25" s="18" t="s">
        <v>237</v>
      </c>
      <c r="C25" s="17">
        <v>1</v>
      </c>
      <c r="D25" s="17" t="s">
        <v>194</v>
      </c>
      <c r="E25" s="17" t="s">
        <v>195</v>
      </c>
      <c r="F25" s="17"/>
      <c r="G25" s="26">
        <v>46129</v>
      </c>
    </row>
    <row r="26" spans="1:7" x14ac:dyDescent="0.45">
      <c r="A26" s="17">
        <f t="shared" si="0"/>
        <v>22</v>
      </c>
      <c r="B26" s="18" t="s">
        <v>224</v>
      </c>
      <c r="C26" s="17">
        <v>1</v>
      </c>
      <c r="D26" s="17" t="s">
        <v>194</v>
      </c>
      <c r="E26" s="17" t="s">
        <v>195</v>
      </c>
      <c r="F26" s="17"/>
      <c r="G26" s="26">
        <v>46122</v>
      </c>
    </row>
    <row r="27" spans="1:7" x14ac:dyDescent="0.45">
      <c r="A27" s="17">
        <f t="shared" si="0"/>
        <v>23</v>
      </c>
      <c r="B27" s="18" t="s">
        <v>205</v>
      </c>
      <c r="C27" s="17">
        <v>1</v>
      </c>
      <c r="D27" s="17" t="s">
        <v>149</v>
      </c>
      <c r="E27" s="17" t="s">
        <v>195</v>
      </c>
      <c r="F27" s="17"/>
      <c r="G27" s="26">
        <v>46111</v>
      </c>
    </row>
    <row r="28" spans="1:7" x14ac:dyDescent="0.45">
      <c r="A28" s="17">
        <f t="shared" si="0"/>
        <v>24</v>
      </c>
      <c r="B28" s="18" t="s">
        <v>167</v>
      </c>
      <c r="C28" s="17">
        <v>1</v>
      </c>
      <c r="D28" s="17" t="s">
        <v>149</v>
      </c>
      <c r="E28" s="17" t="s">
        <v>157</v>
      </c>
      <c r="F28" s="17"/>
      <c r="G28" s="26">
        <v>46097</v>
      </c>
    </row>
    <row r="29" spans="1:7" x14ac:dyDescent="0.45">
      <c r="A29" s="17">
        <f t="shared" si="0"/>
        <v>25</v>
      </c>
      <c r="B29" s="18" t="s">
        <v>168</v>
      </c>
      <c r="C29" s="17">
        <v>1</v>
      </c>
      <c r="D29" s="17" t="s">
        <v>149</v>
      </c>
      <c r="E29" s="17" t="s">
        <v>157</v>
      </c>
      <c r="F29" s="17"/>
      <c r="G29" s="26">
        <v>46097</v>
      </c>
    </row>
    <row r="30" spans="1:7" x14ac:dyDescent="0.45">
      <c r="A30" s="17">
        <f t="shared" si="0"/>
        <v>26</v>
      </c>
      <c r="B30" s="18" t="s">
        <v>192</v>
      </c>
      <c r="C30" s="17">
        <v>2</v>
      </c>
      <c r="D30" s="17" t="s">
        <v>149</v>
      </c>
      <c r="E30" s="17" t="s">
        <v>195</v>
      </c>
      <c r="F30" s="17"/>
      <c r="G30" s="26">
        <v>46083</v>
      </c>
    </row>
    <row r="31" spans="1:7" x14ac:dyDescent="0.45">
      <c r="A31" s="17">
        <f t="shared" si="0"/>
        <v>27</v>
      </c>
      <c r="B31" s="18" t="s">
        <v>171</v>
      </c>
      <c r="C31" s="17">
        <v>1</v>
      </c>
      <c r="D31" s="17" t="s">
        <v>149</v>
      </c>
      <c r="E31" s="17" t="s">
        <v>157</v>
      </c>
      <c r="F31" s="17"/>
      <c r="G31" s="26">
        <v>46083</v>
      </c>
    </row>
    <row r="32" spans="1:7" x14ac:dyDescent="0.45">
      <c r="A32" s="17">
        <f t="shared" si="0"/>
        <v>28</v>
      </c>
      <c r="B32" s="18" t="s">
        <v>124</v>
      </c>
      <c r="C32" s="17">
        <v>1</v>
      </c>
      <c r="D32" s="17" t="s">
        <v>149</v>
      </c>
      <c r="E32" s="17" t="s">
        <v>157</v>
      </c>
      <c r="F32" s="17" t="s">
        <v>158</v>
      </c>
      <c r="G32" s="26">
        <v>46083</v>
      </c>
    </row>
    <row r="33" spans="1:7" x14ac:dyDescent="0.45">
      <c r="A33" s="17">
        <f t="shared" si="0"/>
        <v>29</v>
      </c>
      <c r="B33" s="18" t="s">
        <v>126</v>
      </c>
      <c r="C33" s="17">
        <v>1</v>
      </c>
      <c r="D33" s="17" t="s">
        <v>149</v>
      </c>
      <c r="E33" s="17" t="s">
        <v>195</v>
      </c>
      <c r="F33" s="17"/>
      <c r="G33" s="26">
        <v>46083</v>
      </c>
    </row>
    <row r="34" spans="1:7" x14ac:dyDescent="0.45">
      <c r="A34" s="17">
        <f t="shared" si="0"/>
        <v>30</v>
      </c>
      <c r="B34" s="18" t="s">
        <v>180</v>
      </c>
      <c r="C34" s="17">
        <v>1</v>
      </c>
      <c r="D34" s="17" t="s">
        <v>149</v>
      </c>
      <c r="E34" s="17" t="s">
        <v>195</v>
      </c>
      <c r="F34" s="17" t="s">
        <v>158</v>
      </c>
      <c r="G34" s="26">
        <v>46080</v>
      </c>
    </row>
    <row r="35" spans="1:7" x14ac:dyDescent="0.45">
      <c r="A35" s="17">
        <f t="shared" si="0"/>
        <v>31</v>
      </c>
      <c r="B35" s="32" t="s">
        <v>226</v>
      </c>
      <c r="C35" s="31">
        <v>2</v>
      </c>
      <c r="D35" s="31" t="s">
        <v>157</v>
      </c>
      <c r="E35" s="31" t="s">
        <v>157</v>
      </c>
      <c r="F35" s="31" t="s">
        <v>212</v>
      </c>
      <c r="G35" s="33">
        <v>46128</v>
      </c>
    </row>
    <row r="36" spans="1:7" x14ac:dyDescent="0.45">
      <c r="A36" s="17">
        <f t="shared" si="0"/>
        <v>32</v>
      </c>
      <c r="B36" s="18" t="s">
        <v>179</v>
      </c>
      <c r="C36" s="17">
        <v>2</v>
      </c>
      <c r="D36" s="17" t="s">
        <v>149</v>
      </c>
      <c r="E36" s="17" t="s">
        <v>160</v>
      </c>
      <c r="F36" s="17" t="s">
        <v>158</v>
      </c>
      <c r="G36" s="26">
        <v>46097</v>
      </c>
    </row>
    <row r="37" spans="1:7" x14ac:dyDescent="0.45">
      <c r="A37" s="17">
        <f t="shared" si="0"/>
        <v>33</v>
      </c>
      <c r="B37" s="18" t="s">
        <v>187</v>
      </c>
      <c r="C37" s="17">
        <v>3</v>
      </c>
      <c r="D37" s="17" t="s">
        <v>149</v>
      </c>
      <c r="E37" s="17" t="s">
        <v>160</v>
      </c>
      <c r="F37" s="17" t="s">
        <v>158</v>
      </c>
      <c r="G37" s="26">
        <v>46090</v>
      </c>
    </row>
    <row r="38" spans="1:7" x14ac:dyDescent="0.45">
      <c r="A38" s="17">
        <f t="shared" si="0"/>
        <v>34</v>
      </c>
      <c r="B38" s="18" t="s">
        <v>182</v>
      </c>
      <c r="C38" s="17">
        <v>1</v>
      </c>
      <c r="D38" s="17" t="s">
        <v>149</v>
      </c>
      <c r="E38" s="17" t="s">
        <v>160</v>
      </c>
      <c r="F38" s="17"/>
      <c r="G38" s="26">
        <v>46078</v>
      </c>
    </row>
    <row r="39" spans="1:7" x14ac:dyDescent="0.45">
      <c r="A39" s="17">
        <f t="shared" si="0"/>
        <v>35</v>
      </c>
      <c r="B39" s="18" t="s">
        <v>184</v>
      </c>
      <c r="C39" s="17">
        <v>0.5</v>
      </c>
      <c r="D39" s="17" t="s">
        <v>160</v>
      </c>
      <c r="E39" s="17" t="s">
        <v>160</v>
      </c>
      <c r="F39" s="17"/>
      <c r="G39" s="26">
        <v>46078</v>
      </c>
    </row>
    <row r="40" spans="1:7" x14ac:dyDescent="0.45">
      <c r="A40" s="17">
        <f t="shared" si="0"/>
        <v>36</v>
      </c>
      <c r="B40" s="18" t="s">
        <v>186</v>
      </c>
      <c r="C40" s="17">
        <v>0.5</v>
      </c>
      <c r="D40" s="17" t="s">
        <v>160</v>
      </c>
      <c r="E40" s="17" t="s">
        <v>160</v>
      </c>
      <c r="F40" s="17"/>
      <c r="G40" s="26">
        <v>46077</v>
      </c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69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35</v>
      </c>
      <c r="E53" s="17">
        <f t="shared" si="1"/>
        <v>6</v>
      </c>
      <c r="F53" s="17">
        <f t="shared" si="1"/>
        <v>2</v>
      </c>
      <c r="G53" s="17">
        <f>SUM(D53:F53)</f>
        <v>43</v>
      </c>
    </row>
    <row r="54" spans="2:7" x14ac:dyDescent="0.45">
      <c r="B54" s="21" t="s">
        <v>190</v>
      </c>
      <c r="C54" s="25" t="s">
        <v>157</v>
      </c>
      <c r="D54" s="17">
        <f t="shared" si="1"/>
        <v>17</v>
      </c>
      <c r="E54" s="17">
        <f t="shared" si="1"/>
        <v>2</v>
      </c>
      <c r="F54" s="17">
        <f t="shared" si="1"/>
        <v>0</v>
      </c>
      <c r="G54" s="17">
        <f>SUM(D54:F54)</f>
        <v>19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58</v>
      </c>
      <c r="E56" s="25">
        <f>SUM(E53:E55)</f>
        <v>8</v>
      </c>
      <c r="F56" s="25">
        <f>SUM(F53:F55)</f>
        <v>3</v>
      </c>
      <c r="G56" s="25">
        <f>SUM(G53:G55)</f>
        <v>69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308" priority="40" operator="containsText" text="低">
      <formula>NOT(ISERROR(SEARCH("低",D7)))</formula>
    </cfRule>
    <cfRule type="containsText" dxfId="307" priority="41" operator="containsText" text="中">
      <formula>NOT(ISERROR(SEARCH("中",D7)))</formula>
    </cfRule>
    <cfRule type="containsText" dxfId="306" priority="42" operator="containsText" text="高">
      <formula>NOT(ISERROR(SEARCH("高",D7)))</formula>
    </cfRule>
  </conditionalFormatting>
  <conditionalFormatting sqref="D37:E37">
    <cfRule type="containsText" dxfId="305" priority="37" operator="containsText" text="低">
      <formula>NOT(ISERROR(SEARCH("低",D37)))</formula>
    </cfRule>
    <cfRule type="containsText" dxfId="304" priority="38" operator="containsText" text="中">
      <formula>NOT(ISERROR(SEARCH("中",D37)))</formula>
    </cfRule>
    <cfRule type="containsText" dxfId="303" priority="39" operator="containsText" text="高">
      <formula>NOT(ISERROR(SEARCH("高",D37)))</formula>
    </cfRule>
  </conditionalFormatting>
  <conditionalFormatting sqref="D36:E36">
    <cfRule type="containsText" dxfId="302" priority="34" operator="containsText" text="低">
      <formula>NOT(ISERROR(SEARCH("低",D36)))</formula>
    </cfRule>
    <cfRule type="containsText" dxfId="301" priority="35" operator="containsText" text="中">
      <formula>NOT(ISERROR(SEARCH("中",D36)))</formula>
    </cfRule>
    <cfRule type="containsText" dxfId="300" priority="36" operator="containsText" text="高">
      <formula>NOT(ISERROR(SEARCH("高",D36)))</formula>
    </cfRule>
  </conditionalFormatting>
  <conditionalFormatting sqref="D42:E42">
    <cfRule type="containsText" dxfId="299" priority="31" operator="containsText" text="低">
      <formula>NOT(ISERROR(SEARCH("低",D42)))</formula>
    </cfRule>
    <cfRule type="containsText" dxfId="298" priority="32" operator="containsText" text="中">
      <formula>NOT(ISERROR(SEARCH("中",D42)))</formula>
    </cfRule>
    <cfRule type="containsText" dxfId="297" priority="33" operator="containsText" text="高">
      <formula>NOT(ISERROR(SEARCH("高",D42)))</formula>
    </cfRule>
  </conditionalFormatting>
  <conditionalFormatting sqref="D43:E43">
    <cfRule type="containsText" dxfId="296" priority="28" operator="containsText" text="低">
      <formula>NOT(ISERROR(SEARCH("低",D43)))</formula>
    </cfRule>
    <cfRule type="containsText" dxfId="295" priority="29" operator="containsText" text="中">
      <formula>NOT(ISERROR(SEARCH("中",D43)))</formula>
    </cfRule>
    <cfRule type="containsText" dxfId="294" priority="30" operator="containsText" text="高">
      <formula>NOT(ISERROR(SEARCH("高",D43)))</formula>
    </cfRule>
  </conditionalFormatting>
  <conditionalFormatting sqref="D5:E6">
    <cfRule type="containsText" dxfId="293" priority="25" operator="containsText" text="低">
      <formula>NOT(ISERROR(SEARCH("低",D5)))</formula>
    </cfRule>
    <cfRule type="containsText" dxfId="292" priority="26" operator="containsText" text="中">
      <formula>NOT(ISERROR(SEARCH("中",D5)))</formula>
    </cfRule>
    <cfRule type="containsText" dxfId="291" priority="27" operator="containsText" text="高">
      <formula>NOT(ISERROR(SEARCH("高",D5)))</formula>
    </cfRule>
  </conditionalFormatting>
  <conditionalFormatting sqref="D38">
    <cfRule type="containsText" dxfId="290" priority="22" operator="containsText" text="低">
      <formula>NOT(ISERROR(SEARCH("低",D38)))</formula>
    </cfRule>
    <cfRule type="containsText" dxfId="289" priority="23" operator="containsText" text="中">
      <formula>NOT(ISERROR(SEARCH("中",D38)))</formula>
    </cfRule>
    <cfRule type="containsText" dxfId="288" priority="24" operator="containsText" text="高">
      <formula>NOT(ISERROR(SEARCH("高",D38)))</formula>
    </cfRule>
  </conditionalFormatting>
  <conditionalFormatting sqref="E38">
    <cfRule type="containsText" dxfId="287" priority="19" operator="containsText" text="低">
      <formula>NOT(ISERROR(SEARCH("低",E38)))</formula>
    </cfRule>
    <cfRule type="containsText" dxfId="286" priority="20" operator="containsText" text="中">
      <formula>NOT(ISERROR(SEARCH("中",E38)))</formula>
    </cfRule>
    <cfRule type="containsText" dxfId="285" priority="21" operator="containsText" text="高">
      <formula>NOT(ISERROR(SEARCH("高",E38)))</formula>
    </cfRule>
  </conditionalFormatting>
  <conditionalFormatting sqref="D40:E40">
    <cfRule type="containsText" dxfId="284" priority="16" operator="containsText" text="低">
      <formula>NOT(ISERROR(SEARCH("低",D40)))</formula>
    </cfRule>
    <cfRule type="containsText" dxfId="283" priority="17" operator="containsText" text="中">
      <formula>NOT(ISERROR(SEARCH("中",D40)))</formula>
    </cfRule>
    <cfRule type="containsText" dxfId="282" priority="18" operator="containsText" text="高">
      <formula>NOT(ISERROR(SEARCH("高",D40)))</formula>
    </cfRule>
  </conditionalFormatting>
  <conditionalFormatting sqref="D44:E44">
    <cfRule type="containsText" dxfId="281" priority="10" operator="containsText" text="低">
      <formula>NOT(ISERROR(SEARCH("低",D44)))</formula>
    </cfRule>
    <cfRule type="containsText" dxfId="280" priority="11" operator="containsText" text="中">
      <formula>NOT(ISERROR(SEARCH("中",D44)))</formula>
    </cfRule>
    <cfRule type="containsText" dxfId="279" priority="12" operator="containsText" text="高">
      <formula>NOT(ISERROR(SEARCH("高",D44)))</formula>
    </cfRule>
  </conditionalFormatting>
  <conditionalFormatting sqref="D39">
    <cfRule type="containsText" dxfId="278" priority="7" operator="containsText" text="低">
      <formula>NOT(ISERROR(SEARCH("低",D39)))</formula>
    </cfRule>
    <cfRule type="containsText" dxfId="277" priority="8" operator="containsText" text="中">
      <formula>NOT(ISERROR(SEARCH("中",D39)))</formula>
    </cfRule>
    <cfRule type="containsText" dxfId="276" priority="9" operator="containsText" text="高">
      <formula>NOT(ISERROR(SEARCH("高",D39)))</formula>
    </cfRule>
  </conditionalFormatting>
  <conditionalFormatting sqref="E39">
    <cfRule type="containsText" dxfId="275" priority="4" operator="containsText" text="低">
      <formula>NOT(ISERROR(SEARCH("低",E39)))</formula>
    </cfRule>
    <cfRule type="containsText" dxfId="274" priority="5" operator="containsText" text="中">
      <formula>NOT(ISERROR(SEARCH("中",E39)))</formula>
    </cfRule>
    <cfRule type="containsText" dxfId="273" priority="6" operator="containsText" text="高">
      <formula>NOT(ISERROR(SEARCH("高",E39)))</formula>
    </cfRule>
  </conditionalFormatting>
  <conditionalFormatting sqref="D41:E41">
    <cfRule type="containsText" dxfId="272" priority="1" operator="containsText" text="低">
      <formula>NOT(ISERROR(SEARCH("低",D41)))</formula>
    </cfRule>
    <cfRule type="containsText" dxfId="271" priority="2" operator="containsText" text="中">
      <formula>NOT(ISERROR(SEARCH("中",D41)))</formula>
    </cfRule>
    <cfRule type="containsText" dxfId="270" priority="3" operator="containsText" text="高">
      <formula>NOT(ISERROR(SEARCH("高",D41)))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37CD-E824-405E-9EF6-4693DDFE7D29}">
  <sheetPr>
    <pageSetUpPr fitToPage="1"/>
  </sheetPr>
  <dimension ref="A1:G56"/>
  <sheetViews>
    <sheetView zoomScaleNormal="100" workbookViewId="0">
      <selection activeCell="B27" sqref="B27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26-07-13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267</v>
      </c>
      <c r="C5" s="17">
        <v>2</v>
      </c>
      <c r="D5" s="17" t="s">
        <v>149</v>
      </c>
      <c r="E5" s="17" t="s">
        <v>194</v>
      </c>
      <c r="F5" s="17"/>
      <c r="G5" s="26">
        <v>46216</v>
      </c>
    </row>
    <row r="6" spans="1:7" x14ac:dyDescent="0.45">
      <c r="A6" s="17">
        <f t="shared" si="0"/>
        <v>2</v>
      </c>
      <c r="B6" s="18" t="s">
        <v>265</v>
      </c>
      <c r="C6" s="17">
        <v>2</v>
      </c>
      <c r="D6" s="17" t="s">
        <v>194</v>
      </c>
      <c r="E6" s="17" t="s">
        <v>194</v>
      </c>
      <c r="F6" s="17"/>
      <c r="G6" s="26">
        <v>46213</v>
      </c>
    </row>
    <row r="7" spans="1:7" x14ac:dyDescent="0.45">
      <c r="A7" s="17">
        <f t="shared" si="0"/>
        <v>3</v>
      </c>
      <c r="B7" s="18" t="s">
        <v>264</v>
      </c>
      <c r="C7" s="17">
        <v>3</v>
      </c>
      <c r="D7" s="17" t="s">
        <v>194</v>
      </c>
      <c r="E7" s="17" t="s">
        <v>194</v>
      </c>
      <c r="F7" s="17"/>
      <c r="G7" s="26">
        <v>46212</v>
      </c>
    </row>
    <row r="8" spans="1:7" x14ac:dyDescent="0.45">
      <c r="A8" s="17">
        <f t="shared" si="0"/>
        <v>4</v>
      </c>
      <c r="B8" s="18" t="s">
        <v>266</v>
      </c>
      <c r="C8" s="17">
        <v>5</v>
      </c>
      <c r="D8" s="17" t="s">
        <v>149</v>
      </c>
      <c r="E8" s="17" t="s">
        <v>194</v>
      </c>
      <c r="F8" s="17"/>
      <c r="G8" s="26">
        <v>46210</v>
      </c>
    </row>
    <row r="9" spans="1:7" x14ac:dyDescent="0.45">
      <c r="A9" s="17">
        <f t="shared" si="0"/>
        <v>5</v>
      </c>
      <c r="B9" s="18" t="s">
        <v>261</v>
      </c>
      <c r="C9" s="17">
        <v>3</v>
      </c>
      <c r="D9" s="17" t="s">
        <v>149</v>
      </c>
      <c r="E9" s="17" t="s">
        <v>194</v>
      </c>
      <c r="F9" s="17"/>
      <c r="G9" s="26">
        <v>46206</v>
      </c>
    </row>
    <row r="10" spans="1:7" x14ac:dyDescent="0.45">
      <c r="A10" s="17">
        <f t="shared" si="0"/>
        <v>6</v>
      </c>
      <c r="B10" s="18" t="s">
        <v>262</v>
      </c>
      <c r="C10" s="17">
        <v>3</v>
      </c>
      <c r="D10" s="17" t="s">
        <v>149</v>
      </c>
      <c r="E10" s="17" t="s">
        <v>194</v>
      </c>
      <c r="F10" s="17"/>
      <c r="G10" s="26">
        <v>46204</v>
      </c>
    </row>
    <row r="11" spans="1:7" x14ac:dyDescent="0.45">
      <c r="A11" s="17">
        <f t="shared" si="0"/>
        <v>7</v>
      </c>
      <c r="B11" s="18" t="s">
        <v>258</v>
      </c>
      <c r="C11" s="17">
        <v>3</v>
      </c>
      <c r="D11" s="17" t="s">
        <v>149</v>
      </c>
      <c r="E11" s="17" t="s">
        <v>194</v>
      </c>
      <c r="F11" s="17"/>
      <c r="G11" s="26">
        <v>46204</v>
      </c>
    </row>
    <row r="12" spans="1:7" x14ac:dyDescent="0.45">
      <c r="A12" s="17">
        <f t="shared" si="0"/>
        <v>8</v>
      </c>
      <c r="B12" s="18" t="s">
        <v>249</v>
      </c>
      <c r="C12" s="17">
        <v>2</v>
      </c>
      <c r="D12" s="17" t="s">
        <v>149</v>
      </c>
      <c r="E12" s="17" t="s">
        <v>194</v>
      </c>
      <c r="F12" s="17" t="s">
        <v>212</v>
      </c>
      <c r="G12" s="26">
        <v>46178</v>
      </c>
    </row>
    <row r="13" spans="1:7" x14ac:dyDescent="0.45">
      <c r="A13" s="17">
        <f t="shared" si="0"/>
        <v>9</v>
      </c>
      <c r="B13" s="18" t="s">
        <v>243</v>
      </c>
      <c r="C13" s="17">
        <v>1</v>
      </c>
      <c r="D13" s="17" t="s">
        <v>149</v>
      </c>
      <c r="E13" s="17" t="s">
        <v>194</v>
      </c>
      <c r="F13" s="17"/>
      <c r="G13" s="26">
        <v>46177</v>
      </c>
    </row>
    <row r="14" spans="1:7" x14ac:dyDescent="0.45">
      <c r="A14" s="17">
        <f t="shared" si="0"/>
        <v>10</v>
      </c>
      <c r="B14" s="18" t="s">
        <v>230</v>
      </c>
      <c r="C14" s="17">
        <v>1</v>
      </c>
      <c r="D14" s="17" t="s">
        <v>194</v>
      </c>
      <c r="E14" s="17" t="s">
        <v>149</v>
      </c>
      <c r="F14" s="17" t="s">
        <v>212</v>
      </c>
      <c r="G14" s="26">
        <v>46143</v>
      </c>
    </row>
    <row r="15" spans="1:7" x14ac:dyDescent="0.45">
      <c r="A15" s="17">
        <f t="shared" si="0"/>
        <v>11</v>
      </c>
      <c r="B15" s="18" t="s">
        <v>215</v>
      </c>
      <c r="C15" s="17">
        <v>2</v>
      </c>
      <c r="D15" s="17" t="s">
        <v>194</v>
      </c>
      <c r="E15" s="17" t="s">
        <v>194</v>
      </c>
      <c r="F15" s="17" t="s">
        <v>212</v>
      </c>
      <c r="G15" s="26">
        <v>46115</v>
      </c>
    </row>
    <row r="16" spans="1:7" x14ac:dyDescent="0.45">
      <c r="A16" s="17">
        <f t="shared" si="0"/>
        <v>12</v>
      </c>
      <c r="B16" s="18" t="s">
        <v>259</v>
      </c>
      <c r="C16" s="17">
        <v>3</v>
      </c>
      <c r="D16" s="17" t="s">
        <v>195</v>
      </c>
      <c r="E16" s="17" t="s">
        <v>194</v>
      </c>
      <c r="F16" s="17"/>
      <c r="G16" s="26">
        <v>46205</v>
      </c>
    </row>
    <row r="17" spans="1:7" x14ac:dyDescent="0.45">
      <c r="A17" s="17">
        <f t="shared" si="0"/>
        <v>13</v>
      </c>
      <c r="B17" s="18" t="s">
        <v>197</v>
      </c>
      <c r="C17" s="17">
        <v>3</v>
      </c>
      <c r="D17" s="17" t="s">
        <v>195</v>
      </c>
      <c r="E17" s="17" t="s">
        <v>194</v>
      </c>
      <c r="F17" s="17"/>
      <c r="G17" s="26">
        <v>46104</v>
      </c>
    </row>
    <row r="18" spans="1:7" x14ac:dyDescent="0.45">
      <c r="A18" s="17">
        <f t="shared" si="0"/>
        <v>14</v>
      </c>
      <c r="B18" s="18" t="s">
        <v>203</v>
      </c>
      <c r="C18" s="17">
        <v>1</v>
      </c>
      <c r="D18" s="17" t="s">
        <v>160</v>
      </c>
      <c r="E18" s="17" t="s">
        <v>149</v>
      </c>
      <c r="F18" s="17"/>
      <c r="G18" s="26">
        <v>46101</v>
      </c>
    </row>
    <row r="19" spans="1:7" x14ac:dyDescent="0.45">
      <c r="A19" s="17">
        <f t="shared" si="0"/>
        <v>15</v>
      </c>
      <c r="B19" s="18" t="s">
        <v>202</v>
      </c>
      <c r="C19" s="17">
        <v>1</v>
      </c>
      <c r="D19" s="17" t="s">
        <v>160</v>
      </c>
      <c r="E19" s="17" t="s">
        <v>149</v>
      </c>
      <c r="F19" s="17"/>
      <c r="G19" s="26">
        <v>46100</v>
      </c>
    </row>
    <row r="20" spans="1:7" x14ac:dyDescent="0.45">
      <c r="A20" s="17">
        <f t="shared" si="0"/>
        <v>16</v>
      </c>
      <c r="B20" s="18" t="s">
        <v>255</v>
      </c>
      <c r="C20" s="17">
        <v>2</v>
      </c>
      <c r="D20" s="17" t="s">
        <v>149</v>
      </c>
      <c r="E20" s="17" t="s">
        <v>157</v>
      </c>
      <c r="F20" s="17"/>
      <c r="G20" s="26">
        <v>46195</v>
      </c>
    </row>
    <row r="21" spans="1:7" x14ac:dyDescent="0.45">
      <c r="A21" s="17">
        <f t="shared" si="0"/>
        <v>17</v>
      </c>
      <c r="B21" s="18" t="s">
        <v>251</v>
      </c>
      <c r="C21" s="17">
        <v>1</v>
      </c>
      <c r="D21" s="17" t="s">
        <v>194</v>
      </c>
      <c r="E21" s="17" t="s">
        <v>195</v>
      </c>
      <c r="F21" s="17"/>
      <c r="G21" s="26">
        <v>46181</v>
      </c>
    </row>
    <row r="22" spans="1:7" x14ac:dyDescent="0.45">
      <c r="A22" s="17">
        <f t="shared" si="0"/>
        <v>18</v>
      </c>
      <c r="B22" s="18" t="s">
        <v>250</v>
      </c>
      <c r="C22" s="17">
        <v>3</v>
      </c>
      <c r="D22" s="17" t="s">
        <v>149</v>
      </c>
      <c r="E22" s="17" t="s">
        <v>157</v>
      </c>
      <c r="F22" s="17" t="s">
        <v>212</v>
      </c>
      <c r="G22" s="26">
        <v>46178</v>
      </c>
    </row>
    <row r="23" spans="1:7" x14ac:dyDescent="0.45">
      <c r="A23" s="17">
        <f t="shared" si="0"/>
        <v>19</v>
      </c>
      <c r="B23" s="18" t="s">
        <v>237</v>
      </c>
      <c r="C23" s="17">
        <v>1</v>
      </c>
      <c r="D23" s="17" t="s">
        <v>194</v>
      </c>
      <c r="E23" s="17" t="s">
        <v>195</v>
      </c>
      <c r="F23" s="17"/>
      <c r="G23" s="26">
        <v>46129</v>
      </c>
    </row>
    <row r="24" spans="1:7" x14ac:dyDescent="0.45">
      <c r="A24" s="17">
        <f t="shared" si="0"/>
        <v>20</v>
      </c>
      <c r="B24" s="18" t="s">
        <v>224</v>
      </c>
      <c r="C24" s="17">
        <v>1</v>
      </c>
      <c r="D24" s="17" t="s">
        <v>194</v>
      </c>
      <c r="E24" s="17" t="s">
        <v>195</v>
      </c>
      <c r="F24" s="17"/>
      <c r="G24" s="26">
        <v>46122</v>
      </c>
    </row>
    <row r="25" spans="1:7" x14ac:dyDescent="0.45">
      <c r="A25" s="17">
        <f t="shared" si="0"/>
        <v>21</v>
      </c>
      <c r="B25" s="18" t="s">
        <v>205</v>
      </c>
      <c r="C25" s="17">
        <v>1</v>
      </c>
      <c r="D25" s="17" t="s">
        <v>149</v>
      </c>
      <c r="E25" s="17" t="s">
        <v>195</v>
      </c>
      <c r="F25" s="17"/>
      <c r="G25" s="26">
        <v>46111</v>
      </c>
    </row>
    <row r="26" spans="1:7" x14ac:dyDescent="0.45">
      <c r="A26" s="17">
        <f t="shared" si="0"/>
        <v>22</v>
      </c>
      <c r="B26" s="18" t="s">
        <v>167</v>
      </c>
      <c r="C26" s="17">
        <v>1</v>
      </c>
      <c r="D26" s="17" t="s">
        <v>149</v>
      </c>
      <c r="E26" s="17" t="s">
        <v>157</v>
      </c>
      <c r="F26" s="17"/>
      <c r="G26" s="26">
        <v>46097</v>
      </c>
    </row>
    <row r="27" spans="1:7" x14ac:dyDescent="0.45">
      <c r="A27" s="17">
        <f t="shared" si="0"/>
        <v>23</v>
      </c>
      <c r="B27" s="18" t="s">
        <v>168</v>
      </c>
      <c r="C27" s="17">
        <v>1</v>
      </c>
      <c r="D27" s="17" t="s">
        <v>149</v>
      </c>
      <c r="E27" s="17" t="s">
        <v>157</v>
      </c>
      <c r="F27" s="17"/>
      <c r="G27" s="26">
        <v>46097</v>
      </c>
    </row>
    <row r="28" spans="1:7" x14ac:dyDescent="0.45">
      <c r="A28" s="17">
        <f t="shared" si="0"/>
        <v>24</v>
      </c>
      <c r="B28" s="18" t="s">
        <v>192</v>
      </c>
      <c r="C28" s="17">
        <v>2</v>
      </c>
      <c r="D28" s="17" t="s">
        <v>149</v>
      </c>
      <c r="E28" s="17" t="s">
        <v>195</v>
      </c>
      <c r="F28" s="17"/>
      <c r="G28" s="26">
        <v>46083</v>
      </c>
    </row>
    <row r="29" spans="1:7" x14ac:dyDescent="0.45">
      <c r="A29" s="17">
        <f t="shared" si="0"/>
        <v>25</v>
      </c>
      <c r="B29" s="18" t="s">
        <v>171</v>
      </c>
      <c r="C29" s="17">
        <v>1</v>
      </c>
      <c r="D29" s="17" t="s">
        <v>149</v>
      </c>
      <c r="E29" s="17" t="s">
        <v>157</v>
      </c>
      <c r="F29" s="17"/>
      <c r="G29" s="26">
        <v>46083</v>
      </c>
    </row>
    <row r="30" spans="1:7" x14ac:dyDescent="0.45">
      <c r="A30" s="17">
        <f t="shared" si="0"/>
        <v>26</v>
      </c>
      <c r="B30" s="18" t="s">
        <v>124</v>
      </c>
      <c r="C30" s="17">
        <v>1</v>
      </c>
      <c r="D30" s="17" t="s">
        <v>149</v>
      </c>
      <c r="E30" s="17" t="s">
        <v>157</v>
      </c>
      <c r="F30" s="17" t="s">
        <v>158</v>
      </c>
      <c r="G30" s="26">
        <v>46083</v>
      </c>
    </row>
    <row r="31" spans="1:7" x14ac:dyDescent="0.45">
      <c r="A31" s="17">
        <f t="shared" si="0"/>
        <v>27</v>
      </c>
      <c r="B31" s="18" t="s">
        <v>126</v>
      </c>
      <c r="C31" s="17">
        <v>1</v>
      </c>
      <c r="D31" s="17" t="s">
        <v>149</v>
      </c>
      <c r="E31" s="17" t="s">
        <v>195</v>
      </c>
      <c r="F31" s="17"/>
      <c r="G31" s="26">
        <v>46083</v>
      </c>
    </row>
    <row r="32" spans="1:7" x14ac:dyDescent="0.45">
      <c r="A32" s="17">
        <f t="shared" si="0"/>
        <v>28</v>
      </c>
      <c r="B32" s="18" t="s">
        <v>180</v>
      </c>
      <c r="C32" s="17">
        <v>1</v>
      </c>
      <c r="D32" s="17" t="s">
        <v>149</v>
      </c>
      <c r="E32" s="17" t="s">
        <v>195</v>
      </c>
      <c r="F32" s="17" t="s">
        <v>158</v>
      </c>
      <c r="G32" s="26">
        <v>46080</v>
      </c>
    </row>
    <row r="33" spans="1:7" x14ac:dyDescent="0.45">
      <c r="A33" s="17">
        <f t="shared" si="0"/>
        <v>29</v>
      </c>
      <c r="B33" s="32" t="s">
        <v>226</v>
      </c>
      <c r="C33" s="31">
        <v>2</v>
      </c>
      <c r="D33" s="31" t="s">
        <v>157</v>
      </c>
      <c r="E33" s="31" t="s">
        <v>157</v>
      </c>
      <c r="F33" s="31" t="s">
        <v>212</v>
      </c>
      <c r="G33" s="33">
        <v>46128</v>
      </c>
    </row>
    <row r="34" spans="1:7" x14ac:dyDescent="0.45">
      <c r="A34" s="17">
        <f t="shared" si="0"/>
        <v>30</v>
      </c>
      <c r="B34" s="18" t="s">
        <v>179</v>
      </c>
      <c r="C34" s="17">
        <v>2</v>
      </c>
      <c r="D34" s="17" t="s">
        <v>149</v>
      </c>
      <c r="E34" s="17" t="s">
        <v>160</v>
      </c>
      <c r="F34" s="17" t="s">
        <v>158</v>
      </c>
      <c r="G34" s="26">
        <v>46097</v>
      </c>
    </row>
    <row r="35" spans="1:7" x14ac:dyDescent="0.45">
      <c r="A35" s="17">
        <f t="shared" si="0"/>
        <v>31</v>
      </c>
      <c r="B35" s="18" t="s">
        <v>187</v>
      </c>
      <c r="C35" s="17">
        <v>3</v>
      </c>
      <c r="D35" s="17" t="s">
        <v>149</v>
      </c>
      <c r="E35" s="17" t="s">
        <v>160</v>
      </c>
      <c r="F35" s="17" t="s">
        <v>158</v>
      </c>
      <c r="G35" s="26">
        <v>46090</v>
      </c>
    </row>
    <row r="36" spans="1:7" x14ac:dyDescent="0.45">
      <c r="A36" s="17">
        <f t="shared" si="0"/>
        <v>32</v>
      </c>
      <c r="B36" s="18" t="s">
        <v>182</v>
      </c>
      <c r="C36" s="17">
        <v>1</v>
      </c>
      <c r="D36" s="17" t="s">
        <v>149</v>
      </c>
      <c r="E36" s="17" t="s">
        <v>160</v>
      </c>
      <c r="F36" s="17"/>
      <c r="G36" s="26">
        <v>46078</v>
      </c>
    </row>
    <row r="37" spans="1:7" x14ac:dyDescent="0.45">
      <c r="A37" s="17">
        <f t="shared" si="0"/>
        <v>33</v>
      </c>
      <c r="B37" s="18" t="s">
        <v>184</v>
      </c>
      <c r="C37" s="17">
        <v>0.5</v>
      </c>
      <c r="D37" s="17" t="s">
        <v>160</v>
      </c>
      <c r="E37" s="17" t="s">
        <v>160</v>
      </c>
      <c r="F37" s="17"/>
      <c r="G37" s="26">
        <v>46078</v>
      </c>
    </row>
    <row r="38" spans="1:7" x14ac:dyDescent="0.45">
      <c r="A38" s="17">
        <f t="shared" si="0"/>
        <v>34</v>
      </c>
      <c r="B38" s="18" t="s">
        <v>186</v>
      </c>
      <c r="C38" s="17">
        <v>0.5</v>
      </c>
      <c r="D38" s="17" t="s">
        <v>160</v>
      </c>
      <c r="E38" s="17" t="s">
        <v>160</v>
      </c>
      <c r="F38" s="17"/>
      <c r="G38" s="26">
        <v>46077</v>
      </c>
    </row>
    <row r="39" spans="1:7" x14ac:dyDescent="0.45">
      <c r="A39" s="17">
        <f t="shared" si="0"/>
        <v>35</v>
      </c>
      <c r="B39" s="18"/>
      <c r="C39" s="17"/>
      <c r="D39" s="17"/>
      <c r="E39" s="17"/>
      <c r="F39" s="17"/>
      <c r="G39" s="26"/>
    </row>
    <row r="40" spans="1:7" x14ac:dyDescent="0.45">
      <c r="A40" s="17">
        <f t="shared" si="0"/>
        <v>36</v>
      </c>
      <c r="B40" s="32"/>
      <c r="C40" s="31"/>
      <c r="D40" s="17"/>
      <c r="E40" s="17"/>
      <c r="F40" s="31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61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27</v>
      </c>
      <c r="E53" s="17">
        <f t="shared" si="1"/>
        <v>6</v>
      </c>
      <c r="F53" s="17">
        <f t="shared" si="1"/>
        <v>2</v>
      </c>
      <c r="G53" s="17">
        <f>SUM(D53:F53)</f>
        <v>35</v>
      </c>
    </row>
    <row r="54" spans="2:7" x14ac:dyDescent="0.45">
      <c r="B54" s="21" t="s">
        <v>190</v>
      </c>
      <c r="C54" s="25" t="s">
        <v>157</v>
      </c>
      <c r="D54" s="17">
        <f t="shared" si="1"/>
        <v>17</v>
      </c>
      <c r="E54" s="17">
        <f t="shared" si="1"/>
        <v>2</v>
      </c>
      <c r="F54" s="17">
        <f t="shared" si="1"/>
        <v>0</v>
      </c>
      <c r="G54" s="17">
        <f>SUM(D54:F54)</f>
        <v>19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50</v>
      </c>
      <c r="E56" s="25">
        <f>SUM(E53:E55)</f>
        <v>8</v>
      </c>
      <c r="F56" s="25">
        <f>SUM(F53:F55)</f>
        <v>3</v>
      </c>
      <c r="G56" s="25">
        <f>SUM(G53:G55)</f>
        <v>61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269" priority="37" operator="containsText" text="低">
      <formula>NOT(ISERROR(SEARCH("低",D7)))</formula>
    </cfRule>
    <cfRule type="containsText" dxfId="268" priority="38" operator="containsText" text="中">
      <formula>NOT(ISERROR(SEARCH("中",D7)))</formula>
    </cfRule>
    <cfRule type="containsText" dxfId="267" priority="39" operator="containsText" text="高">
      <formula>NOT(ISERROR(SEARCH("高",D7)))</formula>
    </cfRule>
  </conditionalFormatting>
  <conditionalFormatting sqref="D37:E37">
    <cfRule type="containsText" dxfId="266" priority="34" operator="containsText" text="低">
      <formula>NOT(ISERROR(SEARCH("低",D37)))</formula>
    </cfRule>
    <cfRule type="containsText" dxfId="265" priority="35" operator="containsText" text="中">
      <formula>NOT(ISERROR(SEARCH("中",D37)))</formula>
    </cfRule>
    <cfRule type="containsText" dxfId="264" priority="36" operator="containsText" text="高">
      <formula>NOT(ISERROR(SEARCH("高",D37)))</formula>
    </cfRule>
  </conditionalFormatting>
  <conditionalFormatting sqref="D36:E36">
    <cfRule type="containsText" dxfId="263" priority="31" operator="containsText" text="低">
      <formula>NOT(ISERROR(SEARCH("低",D36)))</formula>
    </cfRule>
    <cfRule type="containsText" dxfId="262" priority="32" operator="containsText" text="中">
      <formula>NOT(ISERROR(SEARCH("中",D36)))</formula>
    </cfRule>
    <cfRule type="containsText" dxfId="261" priority="33" operator="containsText" text="高">
      <formula>NOT(ISERROR(SEARCH("高",D36)))</formula>
    </cfRule>
  </conditionalFormatting>
  <conditionalFormatting sqref="D42:E42">
    <cfRule type="containsText" dxfId="260" priority="28" operator="containsText" text="低">
      <formula>NOT(ISERROR(SEARCH("低",D42)))</formula>
    </cfRule>
    <cfRule type="containsText" dxfId="259" priority="29" operator="containsText" text="中">
      <formula>NOT(ISERROR(SEARCH("中",D42)))</formula>
    </cfRule>
    <cfRule type="containsText" dxfId="258" priority="30" operator="containsText" text="高">
      <formula>NOT(ISERROR(SEARCH("高",D42)))</formula>
    </cfRule>
  </conditionalFormatting>
  <conditionalFormatting sqref="D43:E43">
    <cfRule type="containsText" dxfId="257" priority="25" operator="containsText" text="低">
      <formula>NOT(ISERROR(SEARCH("低",D43)))</formula>
    </cfRule>
    <cfRule type="containsText" dxfId="256" priority="26" operator="containsText" text="中">
      <formula>NOT(ISERROR(SEARCH("中",D43)))</formula>
    </cfRule>
    <cfRule type="containsText" dxfId="255" priority="27" operator="containsText" text="高">
      <formula>NOT(ISERROR(SEARCH("高",D43)))</formula>
    </cfRule>
  </conditionalFormatting>
  <conditionalFormatting sqref="D5:E6">
    <cfRule type="containsText" dxfId="254" priority="22" operator="containsText" text="低">
      <formula>NOT(ISERROR(SEARCH("低",D5)))</formula>
    </cfRule>
    <cfRule type="containsText" dxfId="253" priority="23" operator="containsText" text="中">
      <formula>NOT(ISERROR(SEARCH("中",D5)))</formula>
    </cfRule>
    <cfRule type="containsText" dxfId="252" priority="24" operator="containsText" text="高">
      <formula>NOT(ISERROR(SEARCH("高",D5)))</formula>
    </cfRule>
  </conditionalFormatting>
  <conditionalFormatting sqref="D38">
    <cfRule type="containsText" dxfId="251" priority="19" operator="containsText" text="低">
      <formula>NOT(ISERROR(SEARCH("低",D38)))</formula>
    </cfRule>
    <cfRule type="containsText" dxfId="250" priority="20" operator="containsText" text="中">
      <formula>NOT(ISERROR(SEARCH("中",D38)))</formula>
    </cfRule>
    <cfRule type="containsText" dxfId="249" priority="21" operator="containsText" text="高">
      <formula>NOT(ISERROR(SEARCH("高",D38)))</formula>
    </cfRule>
  </conditionalFormatting>
  <conditionalFormatting sqref="E38">
    <cfRule type="containsText" dxfId="248" priority="16" operator="containsText" text="低">
      <formula>NOT(ISERROR(SEARCH("低",E38)))</formula>
    </cfRule>
    <cfRule type="containsText" dxfId="247" priority="17" operator="containsText" text="中">
      <formula>NOT(ISERROR(SEARCH("中",E38)))</formula>
    </cfRule>
    <cfRule type="containsText" dxfId="246" priority="18" operator="containsText" text="高">
      <formula>NOT(ISERROR(SEARCH("高",E38)))</formula>
    </cfRule>
  </conditionalFormatting>
  <conditionalFormatting sqref="D40:E40">
    <cfRule type="containsText" dxfId="245" priority="13" operator="containsText" text="低">
      <formula>NOT(ISERROR(SEARCH("低",D40)))</formula>
    </cfRule>
    <cfRule type="containsText" dxfId="244" priority="14" operator="containsText" text="中">
      <formula>NOT(ISERROR(SEARCH("中",D40)))</formula>
    </cfRule>
    <cfRule type="containsText" dxfId="243" priority="15" operator="containsText" text="高">
      <formula>NOT(ISERROR(SEARCH("高",D40)))</formula>
    </cfRule>
  </conditionalFormatting>
  <conditionalFormatting sqref="D41:E41">
    <cfRule type="containsText" dxfId="242" priority="10" operator="containsText" text="低">
      <formula>NOT(ISERROR(SEARCH("低",D41)))</formula>
    </cfRule>
    <cfRule type="containsText" dxfId="241" priority="11" operator="containsText" text="中">
      <formula>NOT(ISERROR(SEARCH("中",D41)))</formula>
    </cfRule>
    <cfRule type="containsText" dxfId="240" priority="12" operator="containsText" text="高">
      <formula>NOT(ISERROR(SEARCH("高",D41)))</formula>
    </cfRule>
  </conditionalFormatting>
  <conditionalFormatting sqref="D44:E44">
    <cfRule type="containsText" dxfId="239" priority="7" operator="containsText" text="低">
      <formula>NOT(ISERROR(SEARCH("低",D44)))</formula>
    </cfRule>
    <cfRule type="containsText" dxfId="238" priority="8" operator="containsText" text="中">
      <formula>NOT(ISERROR(SEARCH("中",D44)))</formula>
    </cfRule>
    <cfRule type="containsText" dxfId="237" priority="9" operator="containsText" text="高">
      <formula>NOT(ISERROR(SEARCH("高",D44)))</formula>
    </cfRule>
  </conditionalFormatting>
  <conditionalFormatting sqref="D39">
    <cfRule type="containsText" dxfId="236" priority="4" operator="containsText" text="低">
      <formula>NOT(ISERROR(SEARCH("低",D39)))</formula>
    </cfRule>
    <cfRule type="containsText" dxfId="235" priority="5" operator="containsText" text="中">
      <formula>NOT(ISERROR(SEARCH("中",D39)))</formula>
    </cfRule>
    <cfRule type="containsText" dxfId="234" priority="6" operator="containsText" text="高">
      <formula>NOT(ISERROR(SEARCH("高",D39)))</formula>
    </cfRule>
  </conditionalFormatting>
  <conditionalFormatting sqref="E39">
    <cfRule type="containsText" dxfId="233" priority="1" operator="containsText" text="低">
      <formula>NOT(ISERROR(SEARCH("低",E39)))</formula>
    </cfRule>
    <cfRule type="containsText" dxfId="232" priority="2" operator="containsText" text="中">
      <formula>NOT(ISERROR(SEARCH("中",E39)))</formula>
    </cfRule>
    <cfRule type="containsText" dxfId="231" priority="3" operator="containsText" text="高">
      <formula>NOT(ISERROR(SEARCH("高",E39)))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8351E-6D25-474C-B88D-E973202D241F}">
  <sheetPr>
    <pageSetUpPr fitToPage="1"/>
  </sheetPr>
  <dimension ref="A1:G56"/>
  <sheetViews>
    <sheetView topLeftCell="A19" zoomScaleNormal="100" workbookViewId="0">
      <selection activeCell="B36" sqref="B5:B36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26-07-06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261</v>
      </c>
      <c r="C5" s="17">
        <v>3</v>
      </c>
      <c r="D5" s="17" t="s">
        <v>149</v>
      </c>
      <c r="E5" s="17" t="s">
        <v>194</v>
      </c>
      <c r="F5" s="17"/>
      <c r="G5" s="26">
        <v>46206</v>
      </c>
    </row>
    <row r="6" spans="1:7" x14ac:dyDescent="0.45">
      <c r="A6" s="17">
        <f t="shared" si="0"/>
        <v>2</v>
      </c>
      <c r="B6" s="18" t="s">
        <v>263</v>
      </c>
      <c r="C6" s="17">
        <v>5</v>
      </c>
      <c r="D6" s="17" t="s">
        <v>149</v>
      </c>
      <c r="E6" s="17" t="s">
        <v>194</v>
      </c>
      <c r="F6" s="17" t="s">
        <v>212</v>
      </c>
      <c r="G6" s="26">
        <v>46206</v>
      </c>
    </row>
    <row r="7" spans="1:7" x14ac:dyDescent="0.45">
      <c r="A7" s="17">
        <f t="shared" si="0"/>
        <v>3</v>
      </c>
      <c r="B7" s="18" t="s">
        <v>262</v>
      </c>
      <c r="C7" s="17">
        <v>3</v>
      </c>
      <c r="D7" s="17" t="s">
        <v>149</v>
      </c>
      <c r="E7" s="17" t="s">
        <v>194</v>
      </c>
      <c r="F7" s="17"/>
      <c r="G7" s="26">
        <v>46204</v>
      </c>
    </row>
    <row r="8" spans="1:7" x14ac:dyDescent="0.45">
      <c r="A8" s="17">
        <f t="shared" si="0"/>
        <v>4</v>
      </c>
      <c r="B8" s="18" t="s">
        <v>258</v>
      </c>
      <c r="C8" s="17">
        <v>3</v>
      </c>
      <c r="D8" s="17" t="s">
        <v>149</v>
      </c>
      <c r="E8" s="17" t="s">
        <v>194</v>
      </c>
      <c r="F8" s="17"/>
      <c r="G8" s="26">
        <v>46204</v>
      </c>
    </row>
    <row r="9" spans="1:7" x14ac:dyDescent="0.45">
      <c r="A9" s="17">
        <f t="shared" si="0"/>
        <v>5</v>
      </c>
      <c r="B9" s="18" t="s">
        <v>260</v>
      </c>
      <c r="C9" s="17">
        <v>3</v>
      </c>
      <c r="D9" s="17" t="s">
        <v>149</v>
      </c>
      <c r="E9" s="17" t="s">
        <v>194</v>
      </c>
      <c r="F9" s="17"/>
      <c r="G9" s="26">
        <v>46195</v>
      </c>
    </row>
    <row r="10" spans="1:7" x14ac:dyDescent="0.45">
      <c r="A10" s="17">
        <f t="shared" si="0"/>
        <v>6</v>
      </c>
      <c r="B10" s="18" t="s">
        <v>249</v>
      </c>
      <c r="C10" s="17">
        <v>2</v>
      </c>
      <c r="D10" s="17" t="s">
        <v>149</v>
      </c>
      <c r="E10" s="17" t="s">
        <v>194</v>
      </c>
      <c r="F10" s="17" t="s">
        <v>212</v>
      </c>
      <c r="G10" s="26">
        <v>46178</v>
      </c>
    </row>
    <row r="11" spans="1:7" x14ac:dyDescent="0.45">
      <c r="A11" s="17">
        <f t="shared" si="0"/>
        <v>7</v>
      </c>
      <c r="B11" s="18" t="s">
        <v>243</v>
      </c>
      <c r="C11" s="17">
        <v>1</v>
      </c>
      <c r="D11" s="17" t="s">
        <v>149</v>
      </c>
      <c r="E11" s="17" t="s">
        <v>194</v>
      </c>
      <c r="F11" s="17"/>
      <c r="G11" s="26">
        <v>46177</v>
      </c>
    </row>
    <row r="12" spans="1:7" x14ac:dyDescent="0.45">
      <c r="A12" s="17">
        <f t="shared" si="0"/>
        <v>8</v>
      </c>
      <c r="B12" s="18" t="s">
        <v>230</v>
      </c>
      <c r="C12" s="17">
        <v>1</v>
      </c>
      <c r="D12" s="17" t="s">
        <v>194</v>
      </c>
      <c r="E12" s="17" t="s">
        <v>149</v>
      </c>
      <c r="F12" s="17" t="s">
        <v>212</v>
      </c>
      <c r="G12" s="26">
        <v>46143</v>
      </c>
    </row>
    <row r="13" spans="1:7" x14ac:dyDescent="0.45">
      <c r="A13" s="17">
        <f t="shared" si="0"/>
        <v>9</v>
      </c>
      <c r="B13" s="18" t="s">
        <v>215</v>
      </c>
      <c r="C13" s="17">
        <v>2</v>
      </c>
      <c r="D13" s="17" t="s">
        <v>194</v>
      </c>
      <c r="E13" s="17" t="s">
        <v>194</v>
      </c>
      <c r="F13" s="17" t="s">
        <v>212</v>
      </c>
      <c r="G13" s="26">
        <v>46115</v>
      </c>
    </row>
    <row r="14" spans="1:7" x14ac:dyDescent="0.45">
      <c r="A14" s="17">
        <f t="shared" si="0"/>
        <v>10</v>
      </c>
      <c r="B14" s="18" t="s">
        <v>259</v>
      </c>
      <c r="C14" s="17">
        <v>3</v>
      </c>
      <c r="D14" s="17" t="s">
        <v>195</v>
      </c>
      <c r="E14" s="17" t="s">
        <v>194</v>
      </c>
      <c r="F14" s="17"/>
      <c r="G14" s="26">
        <v>46205</v>
      </c>
    </row>
    <row r="15" spans="1:7" x14ac:dyDescent="0.45">
      <c r="A15" s="17">
        <f t="shared" si="0"/>
        <v>11</v>
      </c>
      <c r="B15" s="18" t="s">
        <v>197</v>
      </c>
      <c r="C15" s="17">
        <v>3</v>
      </c>
      <c r="D15" s="17" t="s">
        <v>195</v>
      </c>
      <c r="E15" s="17" t="s">
        <v>194</v>
      </c>
      <c r="F15" s="17"/>
      <c r="G15" s="26">
        <v>46104</v>
      </c>
    </row>
    <row r="16" spans="1:7" x14ac:dyDescent="0.45">
      <c r="A16" s="17">
        <f t="shared" si="0"/>
        <v>12</v>
      </c>
      <c r="B16" s="18" t="s">
        <v>203</v>
      </c>
      <c r="C16" s="17">
        <v>1</v>
      </c>
      <c r="D16" s="17" t="s">
        <v>160</v>
      </c>
      <c r="E16" s="17" t="s">
        <v>149</v>
      </c>
      <c r="F16" s="17"/>
      <c r="G16" s="26">
        <v>46101</v>
      </c>
    </row>
    <row r="17" spans="1:7" x14ac:dyDescent="0.45">
      <c r="A17" s="17">
        <f t="shared" si="0"/>
        <v>13</v>
      </c>
      <c r="B17" s="18" t="s">
        <v>202</v>
      </c>
      <c r="C17" s="17">
        <v>1</v>
      </c>
      <c r="D17" s="17" t="s">
        <v>160</v>
      </c>
      <c r="E17" s="17" t="s">
        <v>149</v>
      </c>
      <c r="F17" s="17"/>
      <c r="G17" s="26">
        <v>46100</v>
      </c>
    </row>
    <row r="18" spans="1:7" x14ac:dyDescent="0.45">
      <c r="A18" s="17">
        <f t="shared" si="0"/>
        <v>14</v>
      </c>
      <c r="B18" s="18" t="s">
        <v>255</v>
      </c>
      <c r="C18" s="17">
        <v>2</v>
      </c>
      <c r="D18" s="17" t="s">
        <v>149</v>
      </c>
      <c r="E18" s="17" t="s">
        <v>157</v>
      </c>
      <c r="F18" s="17"/>
      <c r="G18" s="26">
        <v>46195</v>
      </c>
    </row>
    <row r="19" spans="1:7" x14ac:dyDescent="0.45">
      <c r="A19" s="17">
        <f t="shared" si="0"/>
        <v>15</v>
      </c>
      <c r="B19" s="18" t="s">
        <v>251</v>
      </c>
      <c r="C19" s="17">
        <v>1</v>
      </c>
      <c r="D19" s="17" t="s">
        <v>194</v>
      </c>
      <c r="E19" s="17" t="s">
        <v>195</v>
      </c>
      <c r="F19" s="17"/>
      <c r="G19" s="26">
        <v>46181</v>
      </c>
    </row>
    <row r="20" spans="1:7" x14ac:dyDescent="0.45">
      <c r="A20" s="17">
        <f t="shared" si="0"/>
        <v>16</v>
      </c>
      <c r="B20" s="18" t="s">
        <v>250</v>
      </c>
      <c r="C20" s="17">
        <v>3</v>
      </c>
      <c r="D20" s="17" t="s">
        <v>149</v>
      </c>
      <c r="E20" s="17" t="s">
        <v>157</v>
      </c>
      <c r="F20" s="17" t="s">
        <v>212</v>
      </c>
      <c r="G20" s="26">
        <v>46178</v>
      </c>
    </row>
    <row r="21" spans="1:7" x14ac:dyDescent="0.45">
      <c r="A21" s="17">
        <f t="shared" si="0"/>
        <v>17</v>
      </c>
      <c r="B21" s="18" t="s">
        <v>237</v>
      </c>
      <c r="C21" s="17">
        <v>1</v>
      </c>
      <c r="D21" s="17" t="s">
        <v>194</v>
      </c>
      <c r="E21" s="17" t="s">
        <v>195</v>
      </c>
      <c r="F21" s="17"/>
      <c r="G21" s="26">
        <v>46129</v>
      </c>
    </row>
    <row r="22" spans="1:7" x14ac:dyDescent="0.45">
      <c r="A22" s="17">
        <f t="shared" si="0"/>
        <v>18</v>
      </c>
      <c r="B22" s="18" t="s">
        <v>224</v>
      </c>
      <c r="C22" s="17">
        <v>1</v>
      </c>
      <c r="D22" s="17" t="s">
        <v>194</v>
      </c>
      <c r="E22" s="17" t="s">
        <v>195</v>
      </c>
      <c r="F22" s="17"/>
      <c r="G22" s="26">
        <v>46122</v>
      </c>
    </row>
    <row r="23" spans="1:7" x14ac:dyDescent="0.45">
      <c r="A23" s="17">
        <f t="shared" si="0"/>
        <v>19</v>
      </c>
      <c r="B23" s="18" t="s">
        <v>205</v>
      </c>
      <c r="C23" s="17">
        <v>1</v>
      </c>
      <c r="D23" s="17" t="s">
        <v>149</v>
      </c>
      <c r="E23" s="17" t="s">
        <v>195</v>
      </c>
      <c r="F23" s="17"/>
      <c r="G23" s="26">
        <v>46111</v>
      </c>
    </row>
    <row r="24" spans="1:7" x14ac:dyDescent="0.45">
      <c r="A24" s="17">
        <f t="shared" si="0"/>
        <v>20</v>
      </c>
      <c r="B24" s="18" t="s">
        <v>167</v>
      </c>
      <c r="C24" s="17">
        <v>1</v>
      </c>
      <c r="D24" s="17" t="s">
        <v>149</v>
      </c>
      <c r="E24" s="17" t="s">
        <v>157</v>
      </c>
      <c r="F24" s="17"/>
      <c r="G24" s="26">
        <v>46097</v>
      </c>
    </row>
    <row r="25" spans="1:7" x14ac:dyDescent="0.45">
      <c r="A25" s="17">
        <f t="shared" si="0"/>
        <v>21</v>
      </c>
      <c r="B25" s="18" t="s">
        <v>168</v>
      </c>
      <c r="C25" s="17">
        <v>1</v>
      </c>
      <c r="D25" s="17" t="s">
        <v>149</v>
      </c>
      <c r="E25" s="17" t="s">
        <v>157</v>
      </c>
      <c r="F25" s="17"/>
      <c r="G25" s="26">
        <v>46097</v>
      </c>
    </row>
    <row r="26" spans="1:7" x14ac:dyDescent="0.45">
      <c r="A26" s="17">
        <f t="shared" si="0"/>
        <v>22</v>
      </c>
      <c r="B26" s="18" t="s">
        <v>192</v>
      </c>
      <c r="C26" s="17">
        <v>2</v>
      </c>
      <c r="D26" s="17" t="s">
        <v>149</v>
      </c>
      <c r="E26" s="17" t="s">
        <v>195</v>
      </c>
      <c r="F26" s="17"/>
      <c r="G26" s="26">
        <v>46083</v>
      </c>
    </row>
    <row r="27" spans="1:7" x14ac:dyDescent="0.45">
      <c r="A27" s="17">
        <f t="shared" si="0"/>
        <v>23</v>
      </c>
      <c r="B27" s="18" t="s">
        <v>171</v>
      </c>
      <c r="C27" s="17">
        <v>1</v>
      </c>
      <c r="D27" s="17" t="s">
        <v>149</v>
      </c>
      <c r="E27" s="17" t="s">
        <v>157</v>
      </c>
      <c r="F27" s="17"/>
      <c r="G27" s="26">
        <v>46083</v>
      </c>
    </row>
    <row r="28" spans="1:7" x14ac:dyDescent="0.45">
      <c r="A28" s="17">
        <f t="shared" si="0"/>
        <v>24</v>
      </c>
      <c r="B28" s="18" t="s">
        <v>124</v>
      </c>
      <c r="C28" s="17">
        <v>1</v>
      </c>
      <c r="D28" s="17" t="s">
        <v>149</v>
      </c>
      <c r="E28" s="17" t="s">
        <v>157</v>
      </c>
      <c r="F28" s="17" t="s">
        <v>158</v>
      </c>
      <c r="G28" s="26">
        <v>46083</v>
      </c>
    </row>
    <row r="29" spans="1:7" x14ac:dyDescent="0.45">
      <c r="A29" s="17">
        <f t="shared" si="0"/>
        <v>25</v>
      </c>
      <c r="B29" s="18" t="s">
        <v>126</v>
      </c>
      <c r="C29" s="17">
        <v>1</v>
      </c>
      <c r="D29" s="17" t="s">
        <v>149</v>
      </c>
      <c r="E29" s="17" t="s">
        <v>195</v>
      </c>
      <c r="F29" s="17"/>
      <c r="G29" s="26">
        <v>46083</v>
      </c>
    </row>
    <row r="30" spans="1:7" x14ac:dyDescent="0.45">
      <c r="A30" s="17">
        <f t="shared" si="0"/>
        <v>26</v>
      </c>
      <c r="B30" s="18" t="s">
        <v>180</v>
      </c>
      <c r="C30" s="17">
        <v>1</v>
      </c>
      <c r="D30" s="17" t="s">
        <v>149</v>
      </c>
      <c r="E30" s="17" t="s">
        <v>195</v>
      </c>
      <c r="F30" s="17" t="s">
        <v>158</v>
      </c>
      <c r="G30" s="26">
        <v>46080</v>
      </c>
    </row>
    <row r="31" spans="1:7" x14ac:dyDescent="0.45">
      <c r="A31" s="17">
        <f t="shared" si="0"/>
        <v>27</v>
      </c>
      <c r="B31" s="32" t="s">
        <v>226</v>
      </c>
      <c r="C31" s="31">
        <v>2</v>
      </c>
      <c r="D31" s="31" t="s">
        <v>157</v>
      </c>
      <c r="E31" s="31" t="s">
        <v>157</v>
      </c>
      <c r="F31" s="31" t="s">
        <v>212</v>
      </c>
      <c r="G31" s="33">
        <v>46128</v>
      </c>
    </row>
    <row r="32" spans="1:7" x14ac:dyDescent="0.45">
      <c r="A32" s="17">
        <f t="shared" si="0"/>
        <v>28</v>
      </c>
      <c r="B32" s="18" t="s">
        <v>179</v>
      </c>
      <c r="C32" s="17">
        <v>2</v>
      </c>
      <c r="D32" s="17" t="s">
        <v>149</v>
      </c>
      <c r="E32" s="17" t="s">
        <v>160</v>
      </c>
      <c r="F32" s="17" t="s">
        <v>158</v>
      </c>
      <c r="G32" s="26">
        <v>46097</v>
      </c>
    </row>
    <row r="33" spans="1:7" x14ac:dyDescent="0.45">
      <c r="A33" s="17">
        <f t="shared" si="0"/>
        <v>29</v>
      </c>
      <c r="B33" s="18" t="s">
        <v>187</v>
      </c>
      <c r="C33" s="17">
        <v>3</v>
      </c>
      <c r="D33" s="17" t="s">
        <v>149</v>
      </c>
      <c r="E33" s="17" t="s">
        <v>160</v>
      </c>
      <c r="F33" s="17" t="s">
        <v>158</v>
      </c>
      <c r="G33" s="26">
        <v>46090</v>
      </c>
    </row>
    <row r="34" spans="1:7" x14ac:dyDescent="0.45">
      <c r="A34" s="17">
        <f t="shared" si="0"/>
        <v>30</v>
      </c>
      <c r="B34" s="18" t="s">
        <v>182</v>
      </c>
      <c r="C34" s="17">
        <v>1</v>
      </c>
      <c r="D34" s="17" t="s">
        <v>149</v>
      </c>
      <c r="E34" s="17" t="s">
        <v>160</v>
      </c>
      <c r="F34" s="17"/>
      <c r="G34" s="26">
        <v>46078</v>
      </c>
    </row>
    <row r="35" spans="1:7" x14ac:dyDescent="0.45">
      <c r="A35" s="17">
        <f t="shared" si="0"/>
        <v>31</v>
      </c>
      <c r="B35" s="18" t="s">
        <v>184</v>
      </c>
      <c r="C35" s="17">
        <v>0.5</v>
      </c>
      <c r="D35" s="17" t="s">
        <v>160</v>
      </c>
      <c r="E35" s="17" t="s">
        <v>160</v>
      </c>
      <c r="F35" s="17"/>
      <c r="G35" s="26">
        <v>46078</v>
      </c>
    </row>
    <row r="36" spans="1:7" x14ac:dyDescent="0.45">
      <c r="A36" s="17">
        <f t="shared" si="0"/>
        <v>32</v>
      </c>
      <c r="B36" s="18" t="s">
        <v>186</v>
      </c>
      <c r="C36" s="17">
        <v>0.5</v>
      </c>
      <c r="D36" s="17" t="s">
        <v>160</v>
      </c>
      <c r="E36" s="17" t="s">
        <v>160</v>
      </c>
      <c r="F36" s="17"/>
      <c r="G36" s="26">
        <v>46077</v>
      </c>
    </row>
    <row r="37" spans="1:7" x14ac:dyDescent="0.45">
      <c r="A37" s="17">
        <f t="shared" si="0"/>
        <v>33</v>
      </c>
      <c r="B37" s="18"/>
      <c r="C37" s="17"/>
      <c r="D37" s="17"/>
      <c r="E37" s="17"/>
      <c r="F37" s="17"/>
      <c r="G37" s="26"/>
    </row>
    <row r="38" spans="1:7" x14ac:dyDescent="0.45">
      <c r="A38" s="17">
        <f t="shared" si="0"/>
        <v>34</v>
      </c>
      <c r="B38" s="18"/>
      <c r="C38" s="17"/>
      <c r="D38" s="17"/>
      <c r="E38" s="17"/>
      <c r="F38" s="17"/>
      <c r="G38" s="26"/>
    </row>
    <row r="39" spans="1:7" x14ac:dyDescent="0.45">
      <c r="A39" s="17">
        <f t="shared" si="0"/>
        <v>35</v>
      </c>
      <c r="B39" s="18"/>
      <c r="C39" s="17"/>
      <c r="D39" s="17"/>
      <c r="E39" s="17"/>
      <c r="F39" s="17"/>
      <c r="G39" s="26"/>
    </row>
    <row r="40" spans="1:7" x14ac:dyDescent="0.45">
      <c r="A40" s="17">
        <f t="shared" si="0"/>
        <v>36</v>
      </c>
      <c r="B40" s="32"/>
      <c r="C40" s="31"/>
      <c r="D40" s="17"/>
      <c r="E40" s="17"/>
      <c r="F40" s="31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57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23</v>
      </c>
      <c r="E53" s="17">
        <f t="shared" si="1"/>
        <v>6</v>
      </c>
      <c r="F53" s="17">
        <f t="shared" si="1"/>
        <v>2</v>
      </c>
      <c r="G53" s="17">
        <f>SUM(D53:F53)</f>
        <v>31</v>
      </c>
    </row>
    <row r="54" spans="2:7" x14ac:dyDescent="0.45">
      <c r="B54" s="21" t="s">
        <v>190</v>
      </c>
      <c r="C54" s="25" t="s">
        <v>157</v>
      </c>
      <c r="D54" s="17">
        <f t="shared" si="1"/>
        <v>17</v>
      </c>
      <c r="E54" s="17">
        <f t="shared" si="1"/>
        <v>2</v>
      </c>
      <c r="F54" s="17">
        <f t="shared" si="1"/>
        <v>0</v>
      </c>
      <c r="G54" s="17">
        <f>SUM(D54:F54)</f>
        <v>19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46</v>
      </c>
      <c r="E56" s="25">
        <f>SUM(E53:E55)</f>
        <v>8</v>
      </c>
      <c r="F56" s="25">
        <f>SUM(F53:F55)</f>
        <v>3</v>
      </c>
      <c r="G56" s="25">
        <f>SUM(G53:G55)</f>
        <v>57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230" priority="31" operator="containsText" text="低">
      <formula>NOT(ISERROR(SEARCH("低",D7)))</formula>
    </cfRule>
    <cfRule type="containsText" dxfId="229" priority="32" operator="containsText" text="中">
      <formula>NOT(ISERROR(SEARCH("中",D7)))</formula>
    </cfRule>
    <cfRule type="containsText" dxfId="228" priority="33" operator="containsText" text="高">
      <formula>NOT(ISERROR(SEARCH("高",D7)))</formula>
    </cfRule>
  </conditionalFormatting>
  <conditionalFormatting sqref="D37:E37">
    <cfRule type="containsText" dxfId="227" priority="28" operator="containsText" text="低">
      <formula>NOT(ISERROR(SEARCH("低",D37)))</formula>
    </cfRule>
    <cfRule type="containsText" dxfId="226" priority="29" operator="containsText" text="中">
      <formula>NOT(ISERROR(SEARCH("中",D37)))</formula>
    </cfRule>
    <cfRule type="containsText" dxfId="225" priority="30" operator="containsText" text="高">
      <formula>NOT(ISERROR(SEARCH("高",D37)))</formula>
    </cfRule>
  </conditionalFormatting>
  <conditionalFormatting sqref="D36:E36">
    <cfRule type="containsText" dxfId="224" priority="25" operator="containsText" text="低">
      <formula>NOT(ISERROR(SEARCH("低",D36)))</formula>
    </cfRule>
    <cfRule type="containsText" dxfId="223" priority="26" operator="containsText" text="中">
      <formula>NOT(ISERROR(SEARCH("中",D36)))</formula>
    </cfRule>
    <cfRule type="containsText" dxfId="222" priority="27" operator="containsText" text="高">
      <formula>NOT(ISERROR(SEARCH("高",D36)))</formula>
    </cfRule>
  </conditionalFormatting>
  <conditionalFormatting sqref="D42:E42">
    <cfRule type="containsText" dxfId="221" priority="22" operator="containsText" text="低">
      <formula>NOT(ISERROR(SEARCH("低",D42)))</formula>
    </cfRule>
    <cfRule type="containsText" dxfId="220" priority="23" operator="containsText" text="中">
      <formula>NOT(ISERROR(SEARCH("中",D42)))</formula>
    </cfRule>
    <cfRule type="containsText" dxfId="219" priority="24" operator="containsText" text="高">
      <formula>NOT(ISERROR(SEARCH("高",D42)))</formula>
    </cfRule>
  </conditionalFormatting>
  <conditionalFormatting sqref="D43:E43">
    <cfRule type="containsText" dxfId="218" priority="19" operator="containsText" text="低">
      <formula>NOT(ISERROR(SEARCH("低",D43)))</formula>
    </cfRule>
    <cfRule type="containsText" dxfId="217" priority="20" operator="containsText" text="中">
      <formula>NOT(ISERROR(SEARCH("中",D43)))</formula>
    </cfRule>
    <cfRule type="containsText" dxfId="216" priority="21" operator="containsText" text="高">
      <formula>NOT(ISERROR(SEARCH("高",D43)))</formula>
    </cfRule>
  </conditionalFormatting>
  <conditionalFormatting sqref="D5:E6">
    <cfRule type="containsText" dxfId="215" priority="16" operator="containsText" text="低">
      <formula>NOT(ISERROR(SEARCH("低",D5)))</formula>
    </cfRule>
    <cfRule type="containsText" dxfId="214" priority="17" operator="containsText" text="中">
      <formula>NOT(ISERROR(SEARCH("中",D5)))</formula>
    </cfRule>
    <cfRule type="containsText" dxfId="213" priority="18" operator="containsText" text="高">
      <formula>NOT(ISERROR(SEARCH("高",D5)))</formula>
    </cfRule>
  </conditionalFormatting>
  <conditionalFormatting sqref="D39:E39 D38">
    <cfRule type="containsText" dxfId="212" priority="13" operator="containsText" text="低">
      <formula>NOT(ISERROR(SEARCH("低",D38)))</formula>
    </cfRule>
    <cfRule type="containsText" dxfId="211" priority="14" operator="containsText" text="中">
      <formula>NOT(ISERROR(SEARCH("中",D38)))</formula>
    </cfRule>
    <cfRule type="containsText" dxfId="210" priority="15" operator="containsText" text="高">
      <formula>NOT(ISERROR(SEARCH("高",D38)))</formula>
    </cfRule>
  </conditionalFormatting>
  <conditionalFormatting sqref="E38">
    <cfRule type="containsText" dxfId="209" priority="10" operator="containsText" text="低">
      <formula>NOT(ISERROR(SEARCH("低",E38)))</formula>
    </cfRule>
    <cfRule type="containsText" dxfId="208" priority="11" operator="containsText" text="中">
      <formula>NOT(ISERROR(SEARCH("中",E38)))</formula>
    </cfRule>
    <cfRule type="containsText" dxfId="207" priority="12" operator="containsText" text="高">
      <formula>NOT(ISERROR(SEARCH("高",E38)))</formula>
    </cfRule>
  </conditionalFormatting>
  <conditionalFormatting sqref="D40:E40">
    <cfRule type="containsText" dxfId="206" priority="7" operator="containsText" text="低">
      <formula>NOT(ISERROR(SEARCH("低",D40)))</formula>
    </cfRule>
    <cfRule type="containsText" dxfId="205" priority="8" operator="containsText" text="中">
      <formula>NOT(ISERROR(SEARCH("中",D40)))</formula>
    </cfRule>
    <cfRule type="containsText" dxfId="204" priority="9" operator="containsText" text="高">
      <formula>NOT(ISERROR(SEARCH("高",D40)))</formula>
    </cfRule>
  </conditionalFormatting>
  <conditionalFormatting sqref="D41:E41">
    <cfRule type="containsText" dxfId="203" priority="4" operator="containsText" text="低">
      <formula>NOT(ISERROR(SEARCH("低",D41)))</formula>
    </cfRule>
    <cfRule type="containsText" dxfId="202" priority="5" operator="containsText" text="中">
      <formula>NOT(ISERROR(SEARCH("中",D41)))</formula>
    </cfRule>
    <cfRule type="containsText" dxfId="201" priority="6" operator="containsText" text="高">
      <formula>NOT(ISERROR(SEARCH("高",D41)))</formula>
    </cfRule>
  </conditionalFormatting>
  <conditionalFormatting sqref="D44:E44">
    <cfRule type="containsText" dxfId="200" priority="1" operator="containsText" text="低">
      <formula>NOT(ISERROR(SEARCH("低",D44)))</formula>
    </cfRule>
    <cfRule type="containsText" dxfId="199" priority="2" operator="containsText" text="中">
      <formula>NOT(ISERROR(SEARCH("中",D44)))</formula>
    </cfRule>
    <cfRule type="containsText" dxfId="198" priority="3" operator="containsText" text="高">
      <formula>NOT(ISERROR(SEARCH("高",D44)))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EE25-DCA4-4AF7-9BE1-602C5917615B}">
  <sheetPr>
    <pageSetUpPr fitToPage="1"/>
  </sheetPr>
  <dimension ref="A1:G56"/>
  <sheetViews>
    <sheetView topLeftCell="A23" zoomScaleNormal="100" workbookViewId="0">
      <selection activeCell="G45" sqref="G45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26-07-01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257</v>
      </c>
      <c r="C5" s="17">
        <v>3</v>
      </c>
      <c r="D5" s="17" t="s">
        <v>149</v>
      </c>
      <c r="E5" s="17" t="s">
        <v>194</v>
      </c>
      <c r="F5" s="17"/>
      <c r="G5" s="26">
        <v>46204</v>
      </c>
    </row>
    <row r="6" spans="1:7" x14ac:dyDescent="0.45">
      <c r="A6" s="17">
        <f t="shared" si="0"/>
        <v>2</v>
      </c>
      <c r="B6" s="18" t="s">
        <v>258</v>
      </c>
      <c r="C6" s="17">
        <v>3</v>
      </c>
      <c r="D6" s="17" t="s">
        <v>149</v>
      </c>
      <c r="E6" s="17" t="s">
        <v>194</v>
      </c>
      <c r="F6" s="17"/>
      <c r="G6" s="26">
        <v>46204</v>
      </c>
    </row>
    <row r="7" spans="1:7" x14ac:dyDescent="0.45">
      <c r="A7" s="17">
        <f t="shared" si="0"/>
        <v>3</v>
      </c>
      <c r="B7" s="18" t="s">
        <v>254</v>
      </c>
      <c r="C7" s="17">
        <v>3</v>
      </c>
      <c r="D7" s="17" t="s">
        <v>149</v>
      </c>
      <c r="E7" s="17" t="s">
        <v>194</v>
      </c>
      <c r="F7" s="17"/>
      <c r="G7" s="26">
        <v>46195</v>
      </c>
    </row>
    <row r="8" spans="1:7" x14ac:dyDescent="0.45">
      <c r="A8" s="17">
        <f t="shared" si="0"/>
        <v>4</v>
      </c>
      <c r="B8" s="18" t="s">
        <v>253</v>
      </c>
      <c r="C8" s="17">
        <v>2</v>
      </c>
      <c r="D8" s="17" t="s">
        <v>149</v>
      </c>
      <c r="E8" s="17" t="s">
        <v>194</v>
      </c>
      <c r="F8" s="17"/>
      <c r="G8" s="26">
        <v>46195</v>
      </c>
    </row>
    <row r="9" spans="1:7" x14ac:dyDescent="0.45">
      <c r="A9" s="17">
        <f t="shared" si="0"/>
        <v>5</v>
      </c>
      <c r="B9" s="18" t="s">
        <v>245</v>
      </c>
      <c r="C9" s="17">
        <v>1</v>
      </c>
      <c r="D9" s="17" t="s">
        <v>149</v>
      </c>
      <c r="E9" s="17" t="s">
        <v>194</v>
      </c>
      <c r="F9" s="17"/>
      <c r="G9" s="26">
        <v>46178</v>
      </c>
    </row>
    <row r="10" spans="1:7" x14ac:dyDescent="0.45">
      <c r="A10" s="17">
        <f t="shared" si="0"/>
        <v>6</v>
      </c>
      <c r="B10" s="18" t="s">
        <v>249</v>
      </c>
      <c r="C10" s="17">
        <v>2</v>
      </c>
      <c r="D10" s="17" t="s">
        <v>149</v>
      </c>
      <c r="E10" s="17" t="s">
        <v>194</v>
      </c>
      <c r="F10" s="17" t="s">
        <v>212</v>
      </c>
      <c r="G10" s="26">
        <v>46178</v>
      </c>
    </row>
    <row r="11" spans="1:7" x14ac:dyDescent="0.45">
      <c r="A11" s="17">
        <f t="shared" si="0"/>
        <v>7</v>
      </c>
      <c r="B11" s="18" t="s">
        <v>243</v>
      </c>
      <c r="C11" s="17">
        <v>1</v>
      </c>
      <c r="D11" s="17" t="s">
        <v>149</v>
      </c>
      <c r="E11" s="17" t="s">
        <v>194</v>
      </c>
      <c r="F11" s="17"/>
      <c r="G11" s="26">
        <v>46177</v>
      </c>
    </row>
    <row r="12" spans="1:7" x14ac:dyDescent="0.45">
      <c r="A12" s="17">
        <f t="shared" si="0"/>
        <v>8</v>
      </c>
      <c r="B12" s="18" t="s">
        <v>238</v>
      </c>
      <c r="C12" s="17">
        <v>2</v>
      </c>
      <c r="D12" s="17" t="s">
        <v>149</v>
      </c>
      <c r="E12" s="17" t="s">
        <v>194</v>
      </c>
      <c r="F12" s="17" t="s">
        <v>212</v>
      </c>
      <c r="G12" s="26">
        <v>46162</v>
      </c>
    </row>
    <row r="13" spans="1:7" x14ac:dyDescent="0.45">
      <c r="A13" s="17">
        <f t="shared" si="0"/>
        <v>9</v>
      </c>
      <c r="B13" s="18" t="s">
        <v>227</v>
      </c>
      <c r="C13" s="17">
        <v>5</v>
      </c>
      <c r="D13" s="17" t="s">
        <v>149</v>
      </c>
      <c r="E13" s="17" t="s">
        <v>194</v>
      </c>
      <c r="F13" s="17" t="s">
        <v>212</v>
      </c>
      <c r="G13" s="26">
        <v>46143</v>
      </c>
    </row>
    <row r="14" spans="1:7" x14ac:dyDescent="0.45">
      <c r="A14" s="17">
        <f t="shared" si="0"/>
        <v>10</v>
      </c>
      <c r="B14" s="18" t="s">
        <v>230</v>
      </c>
      <c r="C14" s="17">
        <v>1</v>
      </c>
      <c r="D14" s="17" t="s">
        <v>194</v>
      </c>
      <c r="E14" s="17" t="s">
        <v>149</v>
      </c>
      <c r="F14" s="17" t="s">
        <v>212</v>
      </c>
      <c r="G14" s="26">
        <v>46143</v>
      </c>
    </row>
    <row r="15" spans="1:7" x14ac:dyDescent="0.45">
      <c r="A15" s="17">
        <f t="shared" si="0"/>
        <v>11</v>
      </c>
      <c r="B15" s="18" t="s">
        <v>215</v>
      </c>
      <c r="C15" s="17">
        <v>2</v>
      </c>
      <c r="D15" s="17" t="s">
        <v>194</v>
      </c>
      <c r="E15" s="17" t="s">
        <v>194</v>
      </c>
      <c r="F15" s="17" t="s">
        <v>212</v>
      </c>
      <c r="G15" s="26">
        <v>46115</v>
      </c>
    </row>
    <row r="16" spans="1:7" x14ac:dyDescent="0.45">
      <c r="A16" s="17">
        <f t="shared" si="0"/>
        <v>12</v>
      </c>
      <c r="B16" s="18" t="s">
        <v>197</v>
      </c>
      <c r="C16" s="17">
        <v>3</v>
      </c>
      <c r="D16" s="17" t="s">
        <v>195</v>
      </c>
      <c r="E16" s="17" t="s">
        <v>194</v>
      </c>
      <c r="F16" s="17"/>
      <c r="G16" s="26">
        <v>46104</v>
      </c>
    </row>
    <row r="17" spans="1:7" x14ac:dyDescent="0.45">
      <c r="A17" s="17">
        <f t="shared" si="0"/>
        <v>13</v>
      </c>
      <c r="B17" s="18" t="s">
        <v>203</v>
      </c>
      <c r="C17" s="17">
        <v>1</v>
      </c>
      <c r="D17" s="17" t="s">
        <v>160</v>
      </c>
      <c r="E17" s="17" t="s">
        <v>149</v>
      </c>
      <c r="F17" s="17"/>
      <c r="G17" s="26">
        <v>46101</v>
      </c>
    </row>
    <row r="18" spans="1:7" x14ac:dyDescent="0.45">
      <c r="A18" s="17">
        <f t="shared" si="0"/>
        <v>14</v>
      </c>
      <c r="B18" s="18" t="s">
        <v>202</v>
      </c>
      <c r="C18" s="17">
        <v>1</v>
      </c>
      <c r="D18" s="17" t="s">
        <v>160</v>
      </c>
      <c r="E18" s="17" t="s">
        <v>149</v>
      </c>
      <c r="F18" s="17"/>
      <c r="G18" s="26">
        <v>46100</v>
      </c>
    </row>
    <row r="19" spans="1:7" x14ac:dyDescent="0.45">
      <c r="A19" s="17">
        <f t="shared" si="0"/>
        <v>15</v>
      </c>
      <c r="B19" s="18" t="s">
        <v>255</v>
      </c>
      <c r="C19" s="17">
        <v>2</v>
      </c>
      <c r="D19" s="17" t="s">
        <v>149</v>
      </c>
      <c r="E19" s="17" t="s">
        <v>157</v>
      </c>
      <c r="F19" s="17"/>
      <c r="G19" s="26">
        <v>46195</v>
      </c>
    </row>
    <row r="20" spans="1:7" x14ac:dyDescent="0.45">
      <c r="A20" s="17">
        <f t="shared" si="0"/>
        <v>16</v>
      </c>
      <c r="B20" s="18" t="s">
        <v>251</v>
      </c>
      <c r="C20" s="17">
        <v>1</v>
      </c>
      <c r="D20" s="17" t="s">
        <v>194</v>
      </c>
      <c r="E20" s="17" t="s">
        <v>195</v>
      </c>
      <c r="F20" s="17"/>
      <c r="G20" s="26">
        <v>46181</v>
      </c>
    </row>
    <row r="21" spans="1:7" x14ac:dyDescent="0.45">
      <c r="A21" s="17">
        <f t="shared" si="0"/>
        <v>17</v>
      </c>
      <c r="B21" s="18" t="s">
        <v>250</v>
      </c>
      <c r="C21" s="17">
        <v>3</v>
      </c>
      <c r="D21" s="17" t="s">
        <v>149</v>
      </c>
      <c r="E21" s="17" t="s">
        <v>157</v>
      </c>
      <c r="F21" s="17" t="s">
        <v>212</v>
      </c>
      <c r="G21" s="26">
        <v>46178</v>
      </c>
    </row>
    <row r="22" spans="1:7" x14ac:dyDescent="0.45">
      <c r="A22" s="17">
        <f t="shared" si="0"/>
        <v>18</v>
      </c>
      <c r="B22" s="18" t="s">
        <v>237</v>
      </c>
      <c r="C22" s="17">
        <v>1</v>
      </c>
      <c r="D22" s="17" t="s">
        <v>194</v>
      </c>
      <c r="E22" s="17" t="s">
        <v>195</v>
      </c>
      <c r="F22" s="17"/>
      <c r="G22" s="26">
        <v>46129</v>
      </c>
    </row>
    <row r="23" spans="1:7" x14ac:dyDescent="0.45">
      <c r="A23" s="17">
        <f t="shared" si="0"/>
        <v>19</v>
      </c>
      <c r="B23" s="18" t="s">
        <v>224</v>
      </c>
      <c r="C23" s="17">
        <v>1</v>
      </c>
      <c r="D23" s="17" t="s">
        <v>194</v>
      </c>
      <c r="E23" s="17" t="s">
        <v>195</v>
      </c>
      <c r="F23" s="17"/>
      <c r="G23" s="26">
        <v>46122</v>
      </c>
    </row>
    <row r="24" spans="1:7" x14ac:dyDescent="0.45">
      <c r="A24" s="17">
        <f t="shared" si="0"/>
        <v>20</v>
      </c>
      <c r="B24" s="18" t="s">
        <v>205</v>
      </c>
      <c r="C24" s="17">
        <v>1</v>
      </c>
      <c r="D24" s="17" t="s">
        <v>149</v>
      </c>
      <c r="E24" s="17" t="s">
        <v>195</v>
      </c>
      <c r="F24" s="17"/>
      <c r="G24" s="26">
        <v>46111</v>
      </c>
    </row>
    <row r="25" spans="1:7" x14ac:dyDescent="0.45">
      <c r="A25" s="17">
        <f t="shared" si="0"/>
        <v>21</v>
      </c>
      <c r="B25" s="18" t="s">
        <v>167</v>
      </c>
      <c r="C25" s="17">
        <v>1</v>
      </c>
      <c r="D25" s="17" t="s">
        <v>149</v>
      </c>
      <c r="E25" s="17" t="s">
        <v>157</v>
      </c>
      <c r="F25" s="17"/>
      <c r="G25" s="26">
        <v>46097</v>
      </c>
    </row>
    <row r="26" spans="1:7" x14ac:dyDescent="0.45">
      <c r="A26" s="17">
        <f t="shared" si="0"/>
        <v>22</v>
      </c>
      <c r="B26" s="18" t="s">
        <v>168</v>
      </c>
      <c r="C26" s="17">
        <v>1</v>
      </c>
      <c r="D26" s="17" t="s">
        <v>149</v>
      </c>
      <c r="E26" s="17" t="s">
        <v>157</v>
      </c>
      <c r="F26" s="17"/>
      <c r="G26" s="26">
        <v>46097</v>
      </c>
    </row>
    <row r="27" spans="1:7" x14ac:dyDescent="0.45">
      <c r="A27" s="17">
        <f t="shared" si="0"/>
        <v>23</v>
      </c>
      <c r="B27" s="18" t="s">
        <v>192</v>
      </c>
      <c r="C27" s="17">
        <v>2</v>
      </c>
      <c r="D27" s="17" t="s">
        <v>149</v>
      </c>
      <c r="E27" s="17" t="s">
        <v>195</v>
      </c>
      <c r="F27" s="17"/>
      <c r="G27" s="26">
        <v>46083</v>
      </c>
    </row>
    <row r="28" spans="1:7" x14ac:dyDescent="0.45">
      <c r="A28" s="17">
        <f t="shared" si="0"/>
        <v>24</v>
      </c>
      <c r="B28" s="18" t="s">
        <v>171</v>
      </c>
      <c r="C28" s="17">
        <v>1</v>
      </c>
      <c r="D28" s="17" t="s">
        <v>149</v>
      </c>
      <c r="E28" s="17" t="s">
        <v>157</v>
      </c>
      <c r="F28" s="17"/>
      <c r="G28" s="26">
        <v>46083</v>
      </c>
    </row>
    <row r="29" spans="1:7" x14ac:dyDescent="0.45">
      <c r="A29" s="17">
        <f t="shared" si="0"/>
        <v>25</v>
      </c>
      <c r="B29" s="18" t="s">
        <v>124</v>
      </c>
      <c r="C29" s="17">
        <v>1</v>
      </c>
      <c r="D29" s="17" t="s">
        <v>149</v>
      </c>
      <c r="E29" s="17" t="s">
        <v>157</v>
      </c>
      <c r="F29" s="17" t="s">
        <v>158</v>
      </c>
      <c r="G29" s="26">
        <v>46083</v>
      </c>
    </row>
    <row r="30" spans="1:7" x14ac:dyDescent="0.45">
      <c r="A30" s="17">
        <f t="shared" si="0"/>
        <v>26</v>
      </c>
      <c r="B30" s="18" t="s">
        <v>126</v>
      </c>
      <c r="C30" s="17">
        <v>1</v>
      </c>
      <c r="D30" s="17" t="s">
        <v>149</v>
      </c>
      <c r="E30" s="17" t="s">
        <v>195</v>
      </c>
      <c r="F30" s="17"/>
      <c r="G30" s="26">
        <v>46083</v>
      </c>
    </row>
    <row r="31" spans="1:7" x14ac:dyDescent="0.45">
      <c r="A31" s="17">
        <f t="shared" si="0"/>
        <v>27</v>
      </c>
      <c r="B31" s="18" t="s">
        <v>180</v>
      </c>
      <c r="C31" s="17">
        <v>1</v>
      </c>
      <c r="D31" s="17" t="s">
        <v>149</v>
      </c>
      <c r="E31" s="17" t="s">
        <v>195</v>
      </c>
      <c r="F31" s="17" t="s">
        <v>158</v>
      </c>
      <c r="G31" s="26">
        <v>46080</v>
      </c>
    </row>
    <row r="32" spans="1:7" x14ac:dyDescent="0.45">
      <c r="A32" s="17">
        <f t="shared" si="0"/>
        <v>28</v>
      </c>
      <c r="B32" s="32" t="s">
        <v>226</v>
      </c>
      <c r="C32" s="31">
        <v>2</v>
      </c>
      <c r="D32" s="31" t="s">
        <v>157</v>
      </c>
      <c r="E32" s="31" t="s">
        <v>157</v>
      </c>
      <c r="F32" s="31" t="s">
        <v>212</v>
      </c>
      <c r="G32" s="33">
        <v>46128</v>
      </c>
    </row>
    <row r="33" spans="1:7" x14ac:dyDescent="0.45">
      <c r="A33" s="17">
        <f t="shared" si="0"/>
        <v>29</v>
      </c>
      <c r="B33" s="32" t="s">
        <v>234</v>
      </c>
      <c r="C33" s="31">
        <v>1</v>
      </c>
      <c r="D33" s="17" t="s">
        <v>195</v>
      </c>
      <c r="E33" s="17" t="s">
        <v>195</v>
      </c>
      <c r="F33" s="31"/>
      <c r="G33" s="26">
        <v>46111</v>
      </c>
    </row>
    <row r="34" spans="1:7" x14ac:dyDescent="0.45">
      <c r="A34" s="17">
        <f t="shared" si="0"/>
        <v>30</v>
      </c>
      <c r="B34" s="18" t="s">
        <v>138</v>
      </c>
      <c r="C34" s="17">
        <v>3</v>
      </c>
      <c r="D34" s="17" t="s">
        <v>157</v>
      </c>
      <c r="E34" s="17" t="s">
        <v>157</v>
      </c>
      <c r="F34" s="17"/>
      <c r="G34" s="26">
        <v>46077</v>
      </c>
    </row>
    <row r="35" spans="1:7" x14ac:dyDescent="0.45">
      <c r="A35" s="17">
        <f t="shared" si="0"/>
        <v>31</v>
      </c>
      <c r="B35" s="18" t="s">
        <v>179</v>
      </c>
      <c r="C35" s="17">
        <v>2</v>
      </c>
      <c r="D35" s="17" t="s">
        <v>149</v>
      </c>
      <c r="E35" s="17" t="s">
        <v>160</v>
      </c>
      <c r="F35" s="17" t="s">
        <v>158</v>
      </c>
      <c r="G35" s="26">
        <v>46097</v>
      </c>
    </row>
    <row r="36" spans="1:7" x14ac:dyDescent="0.45">
      <c r="A36" s="17">
        <f t="shared" si="0"/>
        <v>32</v>
      </c>
      <c r="B36" s="18" t="s">
        <v>187</v>
      </c>
      <c r="C36" s="17">
        <v>3</v>
      </c>
      <c r="D36" s="17" t="s">
        <v>149</v>
      </c>
      <c r="E36" s="17" t="s">
        <v>160</v>
      </c>
      <c r="F36" s="17" t="s">
        <v>158</v>
      </c>
      <c r="G36" s="26">
        <v>46090</v>
      </c>
    </row>
    <row r="37" spans="1:7" x14ac:dyDescent="0.45">
      <c r="A37" s="17">
        <f t="shared" si="0"/>
        <v>33</v>
      </c>
      <c r="B37" s="18" t="s">
        <v>182</v>
      </c>
      <c r="C37" s="17">
        <v>1</v>
      </c>
      <c r="D37" s="17" t="s">
        <v>149</v>
      </c>
      <c r="E37" s="17" t="s">
        <v>160</v>
      </c>
      <c r="F37" s="17"/>
      <c r="G37" s="26">
        <v>46078</v>
      </c>
    </row>
    <row r="38" spans="1:7" x14ac:dyDescent="0.45">
      <c r="A38" s="17">
        <f t="shared" si="0"/>
        <v>34</v>
      </c>
      <c r="B38" s="18" t="s">
        <v>184</v>
      </c>
      <c r="C38" s="17">
        <v>0.5</v>
      </c>
      <c r="D38" s="17" t="s">
        <v>160</v>
      </c>
      <c r="E38" s="17" t="s">
        <v>160</v>
      </c>
      <c r="F38" s="17"/>
      <c r="G38" s="26">
        <v>46078</v>
      </c>
    </row>
    <row r="39" spans="1:7" x14ac:dyDescent="0.45">
      <c r="A39" s="17">
        <f t="shared" si="0"/>
        <v>35</v>
      </c>
      <c r="B39" s="18" t="s">
        <v>186</v>
      </c>
      <c r="C39" s="17">
        <v>0.5</v>
      </c>
      <c r="D39" s="17" t="s">
        <v>160</v>
      </c>
      <c r="E39" s="17" t="s">
        <v>160</v>
      </c>
      <c r="F39" s="17"/>
      <c r="G39" s="26">
        <v>46077</v>
      </c>
    </row>
    <row r="40" spans="1:7" x14ac:dyDescent="0.45">
      <c r="A40" s="17">
        <f t="shared" si="0"/>
        <v>36</v>
      </c>
      <c r="B40" s="18"/>
      <c r="C40" s="17"/>
      <c r="D40" s="17"/>
      <c r="E40" s="17"/>
      <c r="F40" s="17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 t="s">
        <v>259</v>
      </c>
      <c r="C44" s="17">
        <v>3</v>
      </c>
      <c r="D44" s="17" t="s">
        <v>195</v>
      </c>
      <c r="E44" s="17" t="s">
        <v>194</v>
      </c>
      <c r="F44" s="17"/>
      <c r="G44" s="26">
        <v>46205</v>
      </c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63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25</v>
      </c>
      <c r="E53" s="17">
        <f t="shared" si="1"/>
        <v>6</v>
      </c>
      <c r="F53" s="17">
        <f t="shared" si="1"/>
        <v>2</v>
      </c>
      <c r="G53" s="17">
        <f>SUM(D53:F53)</f>
        <v>33</v>
      </c>
    </row>
    <row r="54" spans="2:7" x14ac:dyDescent="0.45">
      <c r="B54" s="21" t="s">
        <v>190</v>
      </c>
      <c r="C54" s="25" t="s">
        <v>157</v>
      </c>
      <c r="D54" s="17">
        <f t="shared" si="1"/>
        <v>17</v>
      </c>
      <c r="E54" s="17">
        <f t="shared" si="1"/>
        <v>6</v>
      </c>
      <c r="F54" s="17">
        <f t="shared" si="1"/>
        <v>0</v>
      </c>
      <c r="G54" s="17">
        <f>SUM(D54:F54)</f>
        <v>23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48</v>
      </c>
      <c r="E56" s="25">
        <f>SUM(E53:E55)</f>
        <v>12</v>
      </c>
      <c r="F56" s="25">
        <f>SUM(F53:F55)</f>
        <v>3</v>
      </c>
      <c r="G56" s="25">
        <f>SUM(G53:G55)</f>
        <v>63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197" priority="34" operator="containsText" text="低">
      <formula>NOT(ISERROR(SEARCH("低",D7)))</formula>
    </cfRule>
    <cfRule type="containsText" dxfId="196" priority="35" operator="containsText" text="中">
      <formula>NOT(ISERROR(SEARCH("中",D7)))</formula>
    </cfRule>
    <cfRule type="containsText" dxfId="195" priority="36" operator="containsText" text="高">
      <formula>NOT(ISERROR(SEARCH("高",D7)))</formula>
    </cfRule>
  </conditionalFormatting>
  <conditionalFormatting sqref="D37:E37">
    <cfRule type="containsText" dxfId="194" priority="31" operator="containsText" text="低">
      <formula>NOT(ISERROR(SEARCH("低",D37)))</formula>
    </cfRule>
    <cfRule type="containsText" dxfId="193" priority="32" operator="containsText" text="中">
      <formula>NOT(ISERROR(SEARCH("中",D37)))</formula>
    </cfRule>
    <cfRule type="containsText" dxfId="192" priority="33" operator="containsText" text="高">
      <formula>NOT(ISERROR(SEARCH("高",D37)))</formula>
    </cfRule>
  </conditionalFormatting>
  <conditionalFormatting sqref="D36:E36">
    <cfRule type="containsText" dxfId="191" priority="25" operator="containsText" text="低">
      <formula>NOT(ISERROR(SEARCH("低",D36)))</formula>
    </cfRule>
    <cfRule type="containsText" dxfId="190" priority="26" operator="containsText" text="中">
      <formula>NOT(ISERROR(SEARCH("中",D36)))</formula>
    </cfRule>
    <cfRule type="containsText" dxfId="189" priority="27" operator="containsText" text="高">
      <formula>NOT(ISERROR(SEARCH("高",D36)))</formula>
    </cfRule>
  </conditionalFormatting>
  <conditionalFormatting sqref="D42:E42">
    <cfRule type="containsText" dxfId="188" priority="22" operator="containsText" text="低">
      <formula>NOT(ISERROR(SEARCH("低",D42)))</formula>
    </cfRule>
    <cfRule type="containsText" dxfId="187" priority="23" operator="containsText" text="中">
      <formula>NOT(ISERROR(SEARCH("中",D42)))</formula>
    </cfRule>
    <cfRule type="containsText" dxfId="186" priority="24" operator="containsText" text="高">
      <formula>NOT(ISERROR(SEARCH("高",D42)))</formula>
    </cfRule>
  </conditionalFormatting>
  <conditionalFormatting sqref="D43:E43">
    <cfRule type="containsText" dxfId="185" priority="19" operator="containsText" text="低">
      <formula>NOT(ISERROR(SEARCH("低",D43)))</formula>
    </cfRule>
    <cfRule type="containsText" dxfId="184" priority="20" operator="containsText" text="中">
      <formula>NOT(ISERROR(SEARCH("中",D43)))</formula>
    </cfRule>
    <cfRule type="containsText" dxfId="183" priority="21" operator="containsText" text="高">
      <formula>NOT(ISERROR(SEARCH("高",D43)))</formula>
    </cfRule>
  </conditionalFormatting>
  <conditionalFormatting sqref="D5:E6">
    <cfRule type="containsText" dxfId="182" priority="16" operator="containsText" text="低">
      <formula>NOT(ISERROR(SEARCH("低",D5)))</formula>
    </cfRule>
    <cfRule type="containsText" dxfId="181" priority="17" operator="containsText" text="中">
      <formula>NOT(ISERROR(SEARCH("中",D5)))</formula>
    </cfRule>
    <cfRule type="containsText" dxfId="180" priority="18" operator="containsText" text="高">
      <formula>NOT(ISERROR(SEARCH("高",D5)))</formula>
    </cfRule>
  </conditionalFormatting>
  <conditionalFormatting sqref="D39:E39 D38">
    <cfRule type="containsText" dxfId="179" priority="13" operator="containsText" text="低">
      <formula>NOT(ISERROR(SEARCH("低",D38)))</formula>
    </cfRule>
    <cfRule type="containsText" dxfId="178" priority="14" operator="containsText" text="中">
      <formula>NOT(ISERROR(SEARCH("中",D38)))</formula>
    </cfRule>
    <cfRule type="containsText" dxfId="177" priority="15" operator="containsText" text="高">
      <formula>NOT(ISERROR(SEARCH("高",D38)))</formula>
    </cfRule>
  </conditionalFormatting>
  <conditionalFormatting sqref="E38">
    <cfRule type="containsText" dxfId="176" priority="10" operator="containsText" text="低">
      <formula>NOT(ISERROR(SEARCH("低",E38)))</formula>
    </cfRule>
    <cfRule type="containsText" dxfId="175" priority="11" operator="containsText" text="中">
      <formula>NOT(ISERROR(SEARCH("中",E38)))</formula>
    </cfRule>
    <cfRule type="containsText" dxfId="174" priority="12" operator="containsText" text="高">
      <formula>NOT(ISERROR(SEARCH("高",E38)))</formula>
    </cfRule>
  </conditionalFormatting>
  <conditionalFormatting sqref="D40:E40">
    <cfRule type="containsText" dxfId="173" priority="7" operator="containsText" text="低">
      <formula>NOT(ISERROR(SEARCH("低",D40)))</formula>
    </cfRule>
    <cfRule type="containsText" dxfId="172" priority="8" operator="containsText" text="中">
      <formula>NOT(ISERROR(SEARCH("中",D40)))</formula>
    </cfRule>
    <cfRule type="containsText" dxfId="171" priority="9" operator="containsText" text="高">
      <formula>NOT(ISERROR(SEARCH("高",D40)))</formula>
    </cfRule>
  </conditionalFormatting>
  <conditionalFormatting sqref="D41:E41">
    <cfRule type="containsText" dxfId="170" priority="4" operator="containsText" text="低">
      <formula>NOT(ISERROR(SEARCH("低",D41)))</formula>
    </cfRule>
    <cfRule type="containsText" dxfId="169" priority="5" operator="containsText" text="中">
      <formula>NOT(ISERROR(SEARCH("中",D41)))</formula>
    </cfRule>
    <cfRule type="containsText" dxfId="168" priority="6" operator="containsText" text="高">
      <formula>NOT(ISERROR(SEARCH("高",D41)))</formula>
    </cfRule>
  </conditionalFormatting>
  <conditionalFormatting sqref="D44:E44">
    <cfRule type="containsText" dxfId="167" priority="1" operator="containsText" text="低">
      <formula>NOT(ISERROR(SEARCH("低",D44)))</formula>
    </cfRule>
    <cfRule type="containsText" dxfId="166" priority="2" operator="containsText" text="中">
      <formula>NOT(ISERROR(SEARCH("中",D44)))</formula>
    </cfRule>
    <cfRule type="containsText" dxfId="165" priority="3" operator="containsText" text="高">
      <formula>NOT(ISERROR(SEARCH("高",D44)))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6642-3F40-4EFC-9E8D-98F59549FC1E}">
  <sheetPr>
    <pageSetUpPr fitToPage="1"/>
  </sheetPr>
  <dimension ref="A1:G56"/>
  <sheetViews>
    <sheetView topLeftCell="A3" zoomScaleNormal="100" workbookViewId="0">
      <selection activeCell="B14" sqref="B14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26-06-22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254</v>
      </c>
      <c r="C5" s="17">
        <v>3</v>
      </c>
      <c r="D5" s="17" t="s">
        <v>149</v>
      </c>
      <c r="E5" s="17" t="s">
        <v>194</v>
      </c>
      <c r="F5" s="17"/>
      <c r="G5" s="26">
        <v>46195</v>
      </c>
    </row>
    <row r="6" spans="1:7" x14ac:dyDescent="0.45">
      <c r="A6" s="17">
        <f t="shared" si="0"/>
        <v>2</v>
      </c>
      <c r="B6" s="18" t="s">
        <v>253</v>
      </c>
      <c r="C6" s="17">
        <v>2</v>
      </c>
      <c r="D6" s="17" t="s">
        <v>149</v>
      </c>
      <c r="E6" s="17" t="s">
        <v>194</v>
      </c>
      <c r="F6" s="17"/>
      <c r="G6" s="26">
        <v>46195</v>
      </c>
    </row>
    <row r="7" spans="1:7" x14ac:dyDescent="0.45">
      <c r="A7" s="17">
        <f t="shared" si="0"/>
        <v>3</v>
      </c>
      <c r="B7" s="18" t="s">
        <v>252</v>
      </c>
      <c r="C7" s="17">
        <v>2</v>
      </c>
      <c r="D7" s="17" t="s">
        <v>149</v>
      </c>
      <c r="E7" s="17" t="s">
        <v>194</v>
      </c>
      <c r="F7" s="17"/>
      <c r="G7" s="26">
        <v>46195</v>
      </c>
    </row>
    <row r="8" spans="1:7" x14ac:dyDescent="0.45">
      <c r="A8" s="17">
        <f t="shared" si="0"/>
        <v>4</v>
      </c>
      <c r="B8" s="18" t="s">
        <v>245</v>
      </c>
      <c r="C8" s="17">
        <v>1</v>
      </c>
      <c r="D8" s="17" t="s">
        <v>149</v>
      </c>
      <c r="E8" s="17" t="s">
        <v>194</v>
      </c>
      <c r="F8" s="17"/>
      <c r="G8" s="26">
        <v>46178</v>
      </c>
    </row>
    <row r="9" spans="1:7" x14ac:dyDescent="0.45">
      <c r="A9" s="17">
        <f t="shared" si="0"/>
        <v>5</v>
      </c>
      <c r="B9" s="18" t="s">
        <v>249</v>
      </c>
      <c r="C9" s="17">
        <v>2</v>
      </c>
      <c r="D9" s="17" t="s">
        <v>149</v>
      </c>
      <c r="E9" s="17" t="s">
        <v>194</v>
      </c>
      <c r="F9" s="17" t="s">
        <v>212</v>
      </c>
      <c r="G9" s="26">
        <v>46178</v>
      </c>
    </row>
    <row r="10" spans="1:7" x14ac:dyDescent="0.45">
      <c r="A10" s="17">
        <f t="shared" si="0"/>
        <v>6</v>
      </c>
      <c r="B10" s="18" t="s">
        <v>243</v>
      </c>
      <c r="C10" s="17">
        <v>1</v>
      </c>
      <c r="D10" s="17" t="s">
        <v>149</v>
      </c>
      <c r="E10" s="17" t="s">
        <v>194</v>
      </c>
      <c r="F10" s="17"/>
      <c r="G10" s="26">
        <v>46177</v>
      </c>
    </row>
    <row r="11" spans="1:7" x14ac:dyDescent="0.45">
      <c r="A11" s="17">
        <f t="shared" si="0"/>
        <v>7</v>
      </c>
      <c r="B11" s="18" t="s">
        <v>238</v>
      </c>
      <c r="C11" s="17">
        <v>2</v>
      </c>
      <c r="D11" s="17" t="s">
        <v>149</v>
      </c>
      <c r="E11" s="17" t="s">
        <v>194</v>
      </c>
      <c r="F11" s="17" t="s">
        <v>212</v>
      </c>
      <c r="G11" s="26">
        <v>46162</v>
      </c>
    </row>
    <row r="12" spans="1:7" x14ac:dyDescent="0.45">
      <c r="A12" s="17">
        <f t="shared" si="0"/>
        <v>8</v>
      </c>
      <c r="B12" s="18" t="s">
        <v>227</v>
      </c>
      <c r="C12" s="17">
        <v>5</v>
      </c>
      <c r="D12" s="17" t="s">
        <v>149</v>
      </c>
      <c r="E12" s="17" t="s">
        <v>194</v>
      </c>
      <c r="F12" s="17" t="s">
        <v>212</v>
      </c>
      <c r="G12" s="26">
        <v>46143</v>
      </c>
    </row>
    <row r="13" spans="1:7" x14ac:dyDescent="0.45">
      <c r="A13" s="17">
        <f t="shared" si="0"/>
        <v>9</v>
      </c>
      <c r="B13" s="18" t="s">
        <v>230</v>
      </c>
      <c r="C13" s="17">
        <v>1</v>
      </c>
      <c r="D13" s="17" t="s">
        <v>194</v>
      </c>
      <c r="E13" s="17" t="s">
        <v>149</v>
      </c>
      <c r="F13" s="17" t="s">
        <v>212</v>
      </c>
      <c r="G13" s="26">
        <v>46143</v>
      </c>
    </row>
    <row r="14" spans="1:7" x14ac:dyDescent="0.45">
      <c r="A14" s="17">
        <f t="shared" si="0"/>
        <v>10</v>
      </c>
      <c r="B14" s="18" t="s">
        <v>215</v>
      </c>
      <c r="C14" s="17">
        <v>2</v>
      </c>
      <c r="D14" s="17" t="s">
        <v>194</v>
      </c>
      <c r="E14" s="17" t="s">
        <v>194</v>
      </c>
      <c r="F14" s="17" t="s">
        <v>212</v>
      </c>
      <c r="G14" s="26">
        <v>46115</v>
      </c>
    </row>
    <row r="15" spans="1:7" x14ac:dyDescent="0.45">
      <c r="A15" s="17">
        <f t="shared" si="0"/>
        <v>11</v>
      </c>
      <c r="B15" s="18" t="s">
        <v>256</v>
      </c>
      <c r="C15" s="17">
        <v>2</v>
      </c>
      <c r="D15" s="17" t="s">
        <v>149</v>
      </c>
      <c r="E15" s="17" t="s">
        <v>194</v>
      </c>
      <c r="F15" s="17"/>
      <c r="G15" s="26">
        <v>46195</v>
      </c>
    </row>
    <row r="16" spans="1:7" x14ac:dyDescent="0.45">
      <c r="A16" s="17">
        <f t="shared" si="0"/>
        <v>12</v>
      </c>
      <c r="B16" s="18" t="s">
        <v>197</v>
      </c>
      <c r="C16" s="17">
        <v>3</v>
      </c>
      <c r="D16" s="17" t="s">
        <v>195</v>
      </c>
      <c r="E16" s="17" t="s">
        <v>194</v>
      </c>
      <c r="F16" s="17"/>
      <c r="G16" s="26">
        <v>46104</v>
      </c>
    </row>
    <row r="17" spans="1:7" x14ac:dyDescent="0.45">
      <c r="A17" s="17">
        <f t="shared" si="0"/>
        <v>13</v>
      </c>
      <c r="B17" s="18" t="s">
        <v>203</v>
      </c>
      <c r="C17" s="17">
        <v>1</v>
      </c>
      <c r="D17" s="17" t="s">
        <v>160</v>
      </c>
      <c r="E17" s="17" t="s">
        <v>149</v>
      </c>
      <c r="F17" s="17"/>
      <c r="G17" s="26">
        <v>46101</v>
      </c>
    </row>
    <row r="18" spans="1:7" x14ac:dyDescent="0.45">
      <c r="A18" s="17">
        <f t="shared" si="0"/>
        <v>14</v>
      </c>
      <c r="B18" s="18" t="s">
        <v>202</v>
      </c>
      <c r="C18" s="17">
        <v>1</v>
      </c>
      <c r="D18" s="17" t="s">
        <v>160</v>
      </c>
      <c r="E18" s="17" t="s">
        <v>149</v>
      </c>
      <c r="F18" s="17"/>
      <c r="G18" s="26">
        <v>46100</v>
      </c>
    </row>
    <row r="19" spans="1:7" x14ac:dyDescent="0.45">
      <c r="A19" s="17">
        <f t="shared" si="0"/>
        <v>15</v>
      </c>
      <c r="B19" s="18" t="s">
        <v>250</v>
      </c>
      <c r="C19" s="17">
        <v>3</v>
      </c>
      <c r="D19" s="17" t="s">
        <v>149</v>
      </c>
      <c r="E19" s="17" t="s">
        <v>157</v>
      </c>
      <c r="F19" s="17" t="s">
        <v>212</v>
      </c>
      <c r="G19" s="26">
        <v>46178</v>
      </c>
    </row>
    <row r="20" spans="1:7" x14ac:dyDescent="0.45">
      <c r="A20" s="17">
        <f t="shared" si="0"/>
        <v>16</v>
      </c>
      <c r="B20" s="18" t="s">
        <v>237</v>
      </c>
      <c r="C20" s="17">
        <v>1</v>
      </c>
      <c r="D20" s="17" t="s">
        <v>194</v>
      </c>
      <c r="E20" s="17" t="s">
        <v>195</v>
      </c>
      <c r="F20" s="17"/>
      <c r="G20" s="26">
        <v>46129</v>
      </c>
    </row>
    <row r="21" spans="1:7" x14ac:dyDescent="0.45">
      <c r="A21" s="17">
        <f t="shared" si="0"/>
        <v>17</v>
      </c>
      <c r="B21" s="18" t="s">
        <v>224</v>
      </c>
      <c r="C21" s="17">
        <v>1</v>
      </c>
      <c r="D21" s="17" t="s">
        <v>194</v>
      </c>
      <c r="E21" s="17" t="s">
        <v>195</v>
      </c>
      <c r="F21" s="17"/>
      <c r="G21" s="26">
        <v>46122</v>
      </c>
    </row>
    <row r="22" spans="1:7" x14ac:dyDescent="0.45">
      <c r="A22" s="17">
        <f t="shared" si="0"/>
        <v>18</v>
      </c>
      <c r="B22" s="18" t="s">
        <v>205</v>
      </c>
      <c r="C22" s="17">
        <v>1</v>
      </c>
      <c r="D22" s="17" t="s">
        <v>149</v>
      </c>
      <c r="E22" s="17" t="s">
        <v>195</v>
      </c>
      <c r="F22" s="17"/>
      <c r="G22" s="26">
        <v>46111</v>
      </c>
    </row>
    <row r="23" spans="1:7" x14ac:dyDescent="0.45">
      <c r="A23" s="17">
        <f t="shared" si="0"/>
        <v>19</v>
      </c>
      <c r="B23" s="18" t="s">
        <v>167</v>
      </c>
      <c r="C23" s="17">
        <v>1</v>
      </c>
      <c r="D23" s="17" t="s">
        <v>149</v>
      </c>
      <c r="E23" s="17" t="s">
        <v>157</v>
      </c>
      <c r="F23" s="17"/>
      <c r="G23" s="26">
        <v>46097</v>
      </c>
    </row>
    <row r="24" spans="1:7" x14ac:dyDescent="0.45">
      <c r="A24" s="17">
        <f t="shared" si="0"/>
        <v>20</v>
      </c>
      <c r="B24" s="18" t="s">
        <v>168</v>
      </c>
      <c r="C24" s="17">
        <v>1</v>
      </c>
      <c r="D24" s="17" t="s">
        <v>149</v>
      </c>
      <c r="E24" s="17" t="s">
        <v>157</v>
      </c>
      <c r="F24" s="17"/>
      <c r="G24" s="26">
        <v>46097</v>
      </c>
    </row>
    <row r="25" spans="1:7" x14ac:dyDescent="0.45">
      <c r="A25" s="17">
        <f t="shared" si="0"/>
        <v>21</v>
      </c>
      <c r="B25" s="18" t="s">
        <v>192</v>
      </c>
      <c r="C25" s="17">
        <v>2</v>
      </c>
      <c r="D25" s="17" t="s">
        <v>149</v>
      </c>
      <c r="E25" s="17" t="s">
        <v>195</v>
      </c>
      <c r="F25" s="17"/>
      <c r="G25" s="26">
        <v>46083</v>
      </c>
    </row>
    <row r="26" spans="1:7" x14ac:dyDescent="0.45">
      <c r="A26" s="17">
        <f t="shared" si="0"/>
        <v>22</v>
      </c>
      <c r="B26" s="18" t="s">
        <v>171</v>
      </c>
      <c r="C26" s="17">
        <v>1</v>
      </c>
      <c r="D26" s="17" t="s">
        <v>149</v>
      </c>
      <c r="E26" s="17" t="s">
        <v>157</v>
      </c>
      <c r="F26" s="17"/>
      <c r="G26" s="26">
        <v>46083</v>
      </c>
    </row>
    <row r="27" spans="1:7" x14ac:dyDescent="0.45">
      <c r="A27" s="17">
        <f t="shared" si="0"/>
        <v>23</v>
      </c>
      <c r="B27" s="18" t="s">
        <v>124</v>
      </c>
      <c r="C27" s="17">
        <v>1</v>
      </c>
      <c r="D27" s="17" t="s">
        <v>149</v>
      </c>
      <c r="E27" s="17" t="s">
        <v>157</v>
      </c>
      <c r="F27" s="17" t="s">
        <v>158</v>
      </c>
      <c r="G27" s="26">
        <v>46083</v>
      </c>
    </row>
    <row r="28" spans="1:7" x14ac:dyDescent="0.45">
      <c r="A28" s="17">
        <f t="shared" si="0"/>
        <v>24</v>
      </c>
      <c r="B28" s="18" t="s">
        <v>126</v>
      </c>
      <c r="C28" s="17">
        <v>1</v>
      </c>
      <c r="D28" s="17" t="s">
        <v>149</v>
      </c>
      <c r="E28" s="17" t="s">
        <v>195</v>
      </c>
      <c r="F28" s="17"/>
      <c r="G28" s="26">
        <v>46083</v>
      </c>
    </row>
    <row r="29" spans="1:7" x14ac:dyDescent="0.45">
      <c r="A29" s="17">
        <f t="shared" si="0"/>
        <v>25</v>
      </c>
      <c r="B29" s="18" t="s">
        <v>180</v>
      </c>
      <c r="C29" s="17">
        <v>1</v>
      </c>
      <c r="D29" s="17" t="s">
        <v>149</v>
      </c>
      <c r="E29" s="17" t="s">
        <v>195</v>
      </c>
      <c r="F29" s="17" t="s">
        <v>158</v>
      </c>
      <c r="G29" s="26">
        <v>46080</v>
      </c>
    </row>
    <row r="30" spans="1:7" x14ac:dyDescent="0.45">
      <c r="A30" s="17">
        <f t="shared" si="0"/>
        <v>26</v>
      </c>
      <c r="B30" s="18" t="s">
        <v>251</v>
      </c>
      <c r="C30" s="17">
        <v>1</v>
      </c>
      <c r="D30" s="17" t="s">
        <v>194</v>
      </c>
      <c r="E30" s="17" t="s">
        <v>195</v>
      </c>
      <c r="F30" s="17"/>
      <c r="G30" s="26">
        <v>46181</v>
      </c>
    </row>
    <row r="31" spans="1:7" x14ac:dyDescent="0.45">
      <c r="A31" s="17">
        <f t="shared" si="0"/>
        <v>27</v>
      </c>
      <c r="B31" s="18" t="s">
        <v>255</v>
      </c>
      <c r="C31" s="17">
        <v>2</v>
      </c>
      <c r="D31" s="17" t="s">
        <v>149</v>
      </c>
      <c r="E31" s="17" t="s">
        <v>157</v>
      </c>
      <c r="F31" s="17"/>
      <c r="G31" s="26">
        <v>46195</v>
      </c>
    </row>
    <row r="32" spans="1:7" x14ac:dyDescent="0.45">
      <c r="A32" s="17">
        <f t="shared" si="0"/>
        <v>28</v>
      </c>
      <c r="B32" s="32" t="s">
        <v>226</v>
      </c>
      <c r="C32" s="31">
        <v>2</v>
      </c>
      <c r="D32" s="31" t="s">
        <v>157</v>
      </c>
      <c r="E32" s="31" t="s">
        <v>157</v>
      </c>
      <c r="F32" s="31" t="s">
        <v>212</v>
      </c>
      <c r="G32" s="33">
        <v>46128</v>
      </c>
    </row>
    <row r="33" spans="1:7" x14ac:dyDescent="0.45">
      <c r="A33" s="17">
        <f t="shared" si="0"/>
        <v>29</v>
      </c>
      <c r="B33" s="32" t="s">
        <v>234</v>
      </c>
      <c r="C33" s="31">
        <v>1</v>
      </c>
      <c r="D33" s="17" t="s">
        <v>195</v>
      </c>
      <c r="E33" s="17" t="s">
        <v>195</v>
      </c>
      <c r="F33" s="31"/>
      <c r="G33" s="26">
        <v>46111</v>
      </c>
    </row>
    <row r="34" spans="1:7" x14ac:dyDescent="0.45">
      <c r="A34" s="17">
        <f t="shared" si="0"/>
        <v>30</v>
      </c>
      <c r="B34" s="18" t="s">
        <v>138</v>
      </c>
      <c r="C34" s="17">
        <v>3</v>
      </c>
      <c r="D34" s="17" t="s">
        <v>157</v>
      </c>
      <c r="E34" s="17" t="s">
        <v>157</v>
      </c>
      <c r="F34" s="17"/>
      <c r="G34" s="26">
        <v>46077</v>
      </c>
    </row>
    <row r="35" spans="1:7" x14ac:dyDescent="0.45">
      <c r="A35" s="17">
        <f t="shared" si="0"/>
        <v>31</v>
      </c>
      <c r="B35" s="18" t="s">
        <v>179</v>
      </c>
      <c r="C35" s="17">
        <v>2</v>
      </c>
      <c r="D35" s="17" t="s">
        <v>149</v>
      </c>
      <c r="E35" s="17" t="s">
        <v>160</v>
      </c>
      <c r="F35" s="17" t="s">
        <v>158</v>
      </c>
      <c r="G35" s="26">
        <v>46097</v>
      </c>
    </row>
    <row r="36" spans="1:7" x14ac:dyDescent="0.45">
      <c r="A36" s="17">
        <f t="shared" si="0"/>
        <v>32</v>
      </c>
      <c r="B36" s="18" t="s">
        <v>187</v>
      </c>
      <c r="C36" s="17">
        <v>3</v>
      </c>
      <c r="D36" s="17" t="s">
        <v>149</v>
      </c>
      <c r="E36" s="17" t="s">
        <v>160</v>
      </c>
      <c r="F36" s="17" t="s">
        <v>158</v>
      </c>
      <c r="G36" s="26">
        <v>46090</v>
      </c>
    </row>
    <row r="37" spans="1:7" x14ac:dyDescent="0.45">
      <c r="A37" s="17">
        <f t="shared" si="0"/>
        <v>33</v>
      </c>
      <c r="B37" s="18" t="s">
        <v>182</v>
      </c>
      <c r="C37" s="17">
        <v>1</v>
      </c>
      <c r="D37" s="17" t="s">
        <v>149</v>
      </c>
      <c r="E37" s="17" t="s">
        <v>160</v>
      </c>
      <c r="F37" s="17"/>
      <c r="G37" s="26">
        <v>46078</v>
      </c>
    </row>
    <row r="38" spans="1:7" x14ac:dyDescent="0.45">
      <c r="A38" s="17">
        <f t="shared" si="0"/>
        <v>34</v>
      </c>
      <c r="B38" s="18" t="s">
        <v>184</v>
      </c>
      <c r="C38" s="17">
        <v>0.5</v>
      </c>
      <c r="D38" s="17" t="s">
        <v>160</v>
      </c>
      <c r="E38" s="17" t="s">
        <v>160</v>
      </c>
      <c r="F38" s="17"/>
      <c r="G38" s="26">
        <v>46078</v>
      </c>
    </row>
    <row r="39" spans="1:7" x14ac:dyDescent="0.45">
      <c r="A39" s="17">
        <f t="shared" si="0"/>
        <v>35</v>
      </c>
      <c r="B39" s="18" t="s">
        <v>186</v>
      </c>
      <c r="C39" s="17">
        <v>0.5</v>
      </c>
      <c r="D39" s="17" t="s">
        <v>160</v>
      </c>
      <c r="E39" s="17" t="s">
        <v>160</v>
      </c>
      <c r="F39" s="17"/>
      <c r="G39" s="26">
        <v>46077</v>
      </c>
    </row>
    <row r="40" spans="1:7" x14ac:dyDescent="0.45">
      <c r="A40" s="17">
        <f t="shared" si="0"/>
        <v>36</v>
      </c>
      <c r="B40" s="24"/>
      <c r="C40" s="17"/>
      <c r="D40" s="17"/>
      <c r="E40" s="17"/>
      <c r="F40" s="17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58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23</v>
      </c>
      <c r="E53" s="17">
        <f t="shared" si="1"/>
        <v>3</v>
      </c>
      <c r="F53" s="17">
        <f t="shared" si="1"/>
        <v>2</v>
      </c>
      <c r="G53" s="17">
        <f>SUM(D53:F53)</f>
        <v>28</v>
      </c>
    </row>
    <row r="54" spans="2:7" x14ac:dyDescent="0.45">
      <c r="B54" s="21" t="s">
        <v>190</v>
      </c>
      <c r="C54" s="25" t="s">
        <v>157</v>
      </c>
      <c r="D54" s="17">
        <f t="shared" si="1"/>
        <v>17</v>
      </c>
      <c r="E54" s="17">
        <f t="shared" si="1"/>
        <v>6</v>
      </c>
      <c r="F54" s="17">
        <f t="shared" si="1"/>
        <v>0</v>
      </c>
      <c r="G54" s="17">
        <f>SUM(D54:F54)</f>
        <v>23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46</v>
      </c>
      <c r="E56" s="25">
        <f>SUM(E53:E55)</f>
        <v>9</v>
      </c>
      <c r="F56" s="25">
        <f>SUM(F53:F55)</f>
        <v>3</v>
      </c>
      <c r="G56" s="25">
        <f>SUM(G53:G55)</f>
        <v>58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7:E35">
    <cfRule type="containsText" dxfId="164" priority="34" operator="containsText" text="低">
      <formula>NOT(ISERROR(SEARCH("低",D7)))</formula>
    </cfRule>
    <cfRule type="containsText" dxfId="163" priority="35" operator="containsText" text="中">
      <formula>NOT(ISERROR(SEARCH("中",D7)))</formula>
    </cfRule>
    <cfRule type="containsText" dxfId="162" priority="36" operator="containsText" text="高">
      <formula>NOT(ISERROR(SEARCH("高",D7)))</formula>
    </cfRule>
  </conditionalFormatting>
  <conditionalFormatting sqref="D37:E37 D40:E40">
    <cfRule type="containsText" dxfId="161" priority="28" operator="containsText" text="低">
      <formula>NOT(ISERROR(SEARCH("低",D37)))</formula>
    </cfRule>
    <cfRule type="containsText" dxfId="160" priority="29" operator="containsText" text="中">
      <formula>NOT(ISERROR(SEARCH("中",D37)))</formula>
    </cfRule>
    <cfRule type="containsText" dxfId="159" priority="30" operator="containsText" text="高">
      <formula>NOT(ISERROR(SEARCH("高",D37)))</formula>
    </cfRule>
  </conditionalFormatting>
  <conditionalFormatting sqref="D41:E41">
    <cfRule type="containsText" dxfId="158" priority="22" operator="containsText" text="低">
      <formula>NOT(ISERROR(SEARCH("低",D41)))</formula>
    </cfRule>
    <cfRule type="containsText" dxfId="157" priority="23" operator="containsText" text="中">
      <formula>NOT(ISERROR(SEARCH("中",D41)))</formula>
    </cfRule>
    <cfRule type="containsText" dxfId="156" priority="24" operator="containsText" text="高">
      <formula>NOT(ISERROR(SEARCH("高",D41)))</formula>
    </cfRule>
  </conditionalFormatting>
  <conditionalFormatting sqref="D36:E36">
    <cfRule type="containsText" dxfId="155" priority="19" operator="containsText" text="低">
      <formula>NOT(ISERROR(SEARCH("低",D36)))</formula>
    </cfRule>
    <cfRule type="containsText" dxfId="154" priority="20" operator="containsText" text="中">
      <formula>NOT(ISERROR(SEARCH("中",D36)))</formula>
    </cfRule>
    <cfRule type="containsText" dxfId="153" priority="21" operator="containsText" text="高">
      <formula>NOT(ISERROR(SEARCH("高",D36)))</formula>
    </cfRule>
  </conditionalFormatting>
  <conditionalFormatting sqref="D42:E42">
    <cfRule type="containsText" dxfId="152" priority="13" operator="containsText" text="低">
      <formula>NOT(ISERROR(SEARCH("低",D42)))</formula>
    </cfRule>
    <cfRule type="containsText" dxfId="151" priority="14" operator="containsText" text="中">
      <formula>NOT(ISERROR(SEARCH("中",D42)))</formula>
    </cfRule>
    <cfRule type="containsText" dxfId="150" priority="15" operator="containsText" text="高">
      <formula>NOT(ISERROR(SEARCH("高",D42)))</formula>
    </cfRule>
  </conditionalFormatting>
  <conditionalFormatting sqref="D43:E43">
    <cfRule type="containsText" dxfId="149" priority="10" operator="containsText" text="低">
      <formula>NOT(ISERROR(SEARCH("低",D43)))</formula>
    </cfRule>
    <cfRule type="containsText" dxfId="148" priority="11" operator="containsText" text="中">
      <formula>NOT(ISERROR(SEARCH("中",D43)))</formula>
    </cfRule>
    <cfRule type="containsText" dxfId="147" priority="12" operator="containsText" text="高">
      <formula>NOT(ISERROR(SEARCH("高",D43)))</formula>
    </cfRule>
  </conditionalFormatting>
  <conditionalFormatting sqref="D5:E6">
    <cfRule type="containsText" dxfId="146" priority="7" operator="containsText" text="低">
      <formula>NOT(ISERROR(SEARCH("低",D5)))</formula>
    </cfRule>
    <cfRule type="containsText" dxfId="145" priority="8" operator="containsText" text="中">
      <formula>NOT(ISERROR(SEARCH("中",D5)))</formula>
    </cfRule>
    <cfRule type="containsText" dxfId="144" priority="9" operator="containsText" text="高">
      <formula>NOT(ISERROR(SEARCH("高",D5)))</formula>
    </cfRule>
  </conditionalFormatting>
  <conditionalFormatting sqref="D39:E39 D38">
    <cfRule type="containsText" dxfId="143" priority="4" operator="containsText" text="低">
      <formula>NOT(ISERROR(SEARCH("低",D38)))</formula>
    </cfRule>
    <cfRule type="containsText" dxfId="142" priority="5" operator="containsText" text="中">
      <formula>NOT(ISERROR(SEARCH("中",D38)))</formula>
    </cfRule>
    <cfRule type="containsText" dxfId="141" priority="6" operator="containsText" text="高">
      <formula>NOT(ISERROR(SEARCH("高",D38)))</formula>
    </cfRule>
  </conditionalFormatting>
  <conditionalFormatting sqref="E38">
    <cfRule type="containsText" dxfId="140" priority="1" operator="containsText" text="低">
      <formula>NOT(ISERROR(SEARCH("低",E38)))</formula>
    </cfRule>
    <cfRule type="containsText" dxfId="139" priority="2" operator="containsText" text="中">
      <formula>NOT(ISERROR(SEARCH("中",E38)))</formula>
    </cfRule>
    <cfRule type="containsText" dxfId="138" priority="3" operator="containsText" text="高">
      <formula>NOT(ISERROR(SEARCH("高",E38)))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229B-CB07-43ED-AD6F-5EBFC99D5EC6}">
  <sheetPr>
    <pageSetUpPr fitToPage="1"/>
  </sheetPr>
  <dimension ref="A1:G56"/>
  <sheetViews>
    <sheetView topLeftCell="A2" zoomScaleNormal="100" workbookViewId="0">
      <selection activeCell="A4" sqref="A4:B5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26-06-08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247</v>
      </c>
      <c r="C5" s="17">
        <v>2</v>
      </c>
      <c r="D5" s="17" t="s">
        <v>149</v>
      </c>
      <c r="E5" s="17" t="s">
        <v>194</v>
      </c>
      <c r="F5" s="17"/>
      <c r="G5" s="26">
        <v>46181</v>
      </c>
    </row>
    <row r="6" spans="1:7" x14ac:dyDescent="0.45">
      <c r="A6" s="17">
        <f t="shared" si="0"/>
        <v>2</v>
      </c>
      <c r="B6" s="18" t="s">
        <v>248</v>
      </c>
      <c r="C6" s="17">
        <v>1</v>
      </c>
      <c r="D6" s="17" t="s">
        <v>149</v>
      </c>
      <c r="E6" s="17" t="s">
        <v>194</v>
      </c>
      <c r="F6" s="17"/>
      <c r="G6" s="26">
        <v>46181</v>
      </c>
    </row>
    <row r="7" spans="1:7" x14ac:dyDescent="0.45">
      <c r="A7" s="17">
        <f t="shared" si="0"/>
        <v>3</v>
      </c>
      <c r="B7" s="18" t="s">
        <v>245</v>
      </c>
      <c r="C7" s="17">
        <v>1</v>
      </c>
      <c r="D7" s="17" t="s">
        <v>149</v>
      </c>
      <c r="E7" s="17" t="s">
        <v>194</v>
      </c>
      <c r="F7" s="17"/>
      <c r="G7" s="26">
        <v>46178</v>
      </c>
    </row>
    <row r="8" spans="1:7" x14ac:dyDescent="0.45">
      <c r="A8" s="17">
        <f t="shared" si="0"/>
        <v>4</v>
      </c>
      <c r="B8" s="18" t="s">
        <v>246</v>
      </c>
      <c r="C8" s="17">
        <v>1</v>
      </c>
      <c r="D8" s="17" t="s">
        <v>149</v>
      </c>
      <c r="E8" s="17" t="s">
        <v>194</v>
      </c>
      <c r="F8" s="17"/>
      <c r="G8" s="26">
        <v>46178</v>
      </c>
    </row>
    <row r="9" spans="1:7" x14ac:dyDescent="0.45">
      <c r="A9" s="17">
        <f t="shared" si="0"/>
        <v>5</v>
      </c>
      <c r="B9" s="18" t="s">
        <v>249</v>
      </c>
      <c r="C9" s="17">
        <v>2</v>
      </c>
      <c r="D9" s="17" t="s">
        <v>149</v>
      </c>
      <c r="E9" s="17" t="s">
        <v>194</v>
      </c>
      <c r="F9" s="17" t="s">
        <v>212</v>
      </c>
      <c r="G9" s="26">
        <v>46178</v>
      </c>
    </row>
    <row r="10" spans="1:7" x14ac:dyDescent="0.45">
      <c r="A10" s="17">
        <f t="shared" si="0"/>
        <v>6</v>
      </c>
      <c r="B10" s="18" t="s">
        <v>243</v>
      </c>
      <c r="C10" s="17">
        <v>1</v>
      </c>
      <c r="D10" s="17" t="s">
        <v>149</v>
      </c>
      <c r="E10" s="17" t="s">
        <v>194</v>
      </c>
      <c r="F10" s="17"/>
      <c r="G10" s="26">
        <v>46177</v>
      </c>
    </row>
    <row r="11" spans="1:7" x14ac:dyDescent="0.45">
      <c r="A11" s="17">
        <f t="shared" si="0"/>
        <v>7</v>
      </c>
      <c r="B11" s="18" t="s">
        <v>239</v>
      </c>
      <c r="C11" s="17">
        <v>2</v>
      </c>
      <c r="D11" s="17" t="s">
        <v>149</v>
      </c>
      <c r="E11" s="17" t="s">
        <v>194</v>
      </c>
      <c r="F11" s="17"/>
      <c r="G11" s="26">
        <v>46164</v>
      </c>
    </row>
    <row r="12" spans="1:7" x14ac:dyDescent="0.45">
      <c r="A12" s="17">
        <f t="shared" si="0"/>
        <v>8</v>
      </c>
      <c r="B12" s="18" t="s">
        <v>238</v>
      </c>
      <c r="C12" s="17">
        <v>2</v>
      </c>
      <c r="D12" s="17" t="s">
        <v>149</v>
      </c>
      <c r="E12" s="17" t="s">
        <v>194</v>
      </c>
      <c r="F12" s="17" t="s">
        <v>212</v>
      </c>
      <c r="G12" s="26">
        <v>46162</v>
      </c>
    </row>
    <row r="13" spans="1:7" x14ac:dyDescent="0.45">
      <c r="A13" s="17">
        <f t="shared" si="0"/>
        <v>9</v>
      </c>
      <c r="B13" s="24" t="s">
        <v>240</v>
      </c>
      <c r="C13" s="17">
        <v>2</v>
      </c>
      <c r="D13" s="17" t="s">
        <v>149</v>
      </c>
      <c r="E13" s="17" t="s">
        <v>194</v>
      </c>
      <c r="F13" s="17"/>
      <c r="G13" s="26">
        <v>46160</v>
      </c>
    </row>
    <row r="14" spans="1:7" x14ac:dyDescent="0.45">
      <c r="A14" s="17">
        <f t="shared" si="0"/>
        <v>10</v>
      </c>
      <c r="B14" s="18" t="s">
        <v>241</v>
      </c>
      <c r="C14" s="17">
        <v>5</v>
      </c>
      <c r="D14" s="17" t="s">
        <v>149</v>
      </c>
      <c r="E14" s="17" t="s">
        <v>194</v>
      </c>
      <c r="F14" s="17"/>
      <c r="G14" s="26">
        <v>46160</v>
      </c>
    </row>
    <row r="15" spans="1:7" x14ac:dyDescent="0.45">
      <c r="A15" s="17">
        <f t="shared" si="0"/>
        <v>11</v>
      </c>
      <c r="B15" s="18" t="s">
        <v>227</v>
      </c>
      <c r="C15" s="17">
        <v>5</v>
      </c>
      <c r="D15" s="17" t="s">
        <v>149</v>
      </c>
      <c r="E15" s="17" t="s">
        <v>194</v>
      </c>
      <c r="F15" s="17" t="s">
        <v>212</v>
      </c>
      <c r="G15" s="26">
        <v>46143</v>
      </c>
    </row>
    <row r="16" spans="1:7" x14ac:dyDescent="0.45">
      <c r="A16" s="17">
        <f t="shared" si="0"/>
        <v>12</v>
      </c>
      <c r="B16" s="18" t="s">
        <v>230</v>
      </c>
      <c r="C16" s="17">
        <v>1</v>
      </c>
      <c r="D16" s="17" t="s">
        <v>194</v>
      </c>
      <c r="E16" s="17" t="s">
        <v>149</v>
      </c>
      <c r="F16" s="17" t="s">
        <v>212</v>
      </c>
      <c r="G16" s="26">
        <v>46143</v>
      </c>
    </row>
    <row r="17" spans="1:7" x14ac:dyDescent="0.45">
      <c r="A17" s="17">
        <f t="shared" si="0"/>
        <v>13</v>
      </c>
      <c r="B17" s="18" t="s">
        <v>232</v>
      </c>
      <c r="C17" s="17">
        <v>2</v>
      </c>
      <c r="D17" s="17" t="s">
        <v>194</v>
      </c>
      <c r="E17" s="17" t="s">
        <v>194</v>
      </c>
      <c r="F17" s="17"/>
      <c r="G17" s="26">
        <v>46129</v>
      </c>
    </row>
    <row r="18" spans="1:7" x14ac:dyDescent="0.45">
      <c r="A18" s="17">
        <f t="shared" si="0"/>
        <v>14</v>
      </c>
      <c r="B18" s="18" t="s">
        <v>233</v>
      </c>
      <c r="C18" s="17">
        <v>2</v>
      </c>
      <c r="D18" s="17" t="s">
        <v>194</v>
      </c>
      <c r="E18" s="17" t="s">
        <v>194</v>
      </c>
      <c r="F18" s="17"/>
      <c r="G18" s="26">
        <v>46129</v>
      </c>
    </row>
    <row r="19" spans="1:7" x14ac:dyDescent="0.45">
      <c r="A19" s="17">
        <f t="shared" si="0"/>
        <v>15</v>
      </c>
      <c r="B19" s="18" t="s">
        <v>215</v>
      </c>
      <c r="C19" s="17">
        <v>2</v>
      </c>
      <c r="D19" s="17" t="s">
        <v>194</v>
      </c>
      <c r="E19" s="17" t="s">
        <v>194</v>
      </c>
      <c r="F19" s="17" t="s">
        <v>212</v>
      </c>
      <c r="G19" s="26">
        <v>46115</v>
      </c>
    </row>
    <row r="20" spans="1:7" x14ac:dyDescent="0.45">
      <c r="A20" s="17">
        <f t="shared" si="0"/>
        <v>16</v>
      </c>
      <c r="B20" s="18" t="s">
        <v>244</v>
      </c>
      <c r="C20" s="17">
        <v>1</v>
      </c>
      <c r="D20" s="17" t="s">
        <v>195</v>
      </c>
      <c r="E20" s="17" t="s">
        <v>194</v>
      </c>
      <c r="F20" s="17"/>
      <c r="G20" s="26">
        <v>46178</v>
      </c>
    </row>
    <row r="21" spans="1:7" x14ac:dyDescent="0.45">
      <c r="A21" s="17">
        <f t="shared" si="0"/>
        <v>17</v>
      </c>
      <c r="B21" s="18" t="s">
        <v>197</v>
      </c>
      <c r="C21" s="17">
        <v>3</v>
      </c>
      <c r="D21" s="17" t="s">
        <v>195</v>
      </c>
      <c r="E21" s="17" t="s">
        <v>194</v>
      </c>
      <c r="F21" s="17"/>
      <c r="G21" s="26">
        <v>46104</v>
      </c>
    </row>
    <row r="22" spans="1:7" x14ac:dyDescent="0.45">
      <c r="A22" s="17">
        <f t="shared" si="0"/>
        <v>18</v>
      </c>
      <c r="B22" s="18" t="s">
        <v>203</v>
      </c>
      <c r="C22" s="17">
        <v>1</v>
      </c>
      <c r="D22" s="17" t="s">
        <v>160</v>
      </c>
      <c r="E22" s="17" t="s">
        <v>149</v>
      </c>
      <c r="F22" s="17"/>
      <c r="G22" s="26">
        <v>46101</v>
      </c>
    </row>
    <row r="23" spans="1:7" x14ac:dyDescent="0.45">
      <c r="A23" s="17">
        <f t="shared" si="0"/>
        <v>19</v>
      </c>
      <c r="B23" s="18" t="s">
        <v>202</v>
      </c>
      <c r="C23" s="17">
        <v>1</v>
      </c>
      <c r="D23" s="17" t="s">
        <v>160</v>
      </c>
      <c r="E23" s="17" t="s">
        <v>149</v>
      </c>
      <c r="F23" s="17"/>
      <c r="G23" s="26">
        <v>46100</v>
      </c>
    </row>
    <row r="24" spans="1:7" x14ac:dyDescent="0.45">
      <c r="A24" s="17">
        <f t="shared" si="0"/>
        <v>20</v>
      </c>
      <c r="B24" s="18" t="s">
        <v>250</v>
      </c>
      <c r="C24" s="17">
        <v>3</v>
      </c>
      <c r="D24" s="17" t="s">
        <v>149</v>
      </c>
      <c r="E24" s="17" t="s">
        <v>157</v>
      </c>
      <c r="F24" s="17" t="s">
        <v>212</v>
      </c>
      <c r="G24" s="26">
        <v>46178</v>
      </c>
    </row>
    <row r="25" spans="1:7" x14ac:dyDescent="0.45">
      <c r="A25" s="17">
        <f t="shared" si="0"/>
        <v>21</v>
      </c>
      <c r="B25" s="18" t="s">
        <v>237</v>
      </c>
      <c r="C25" s="17">
        <v>1</v>
      </c>
      <c r="D25" s="17" t="s">
        <v>194</v>
      </c>
      <c r="E25" s="17" t="s">
        <v>195</v>
      </c>
      <c r="F25" s="17"/>
      <c r="G25" s="26">
        <v>46129</v>
      </c>
    </row>
    <row r="26" spans="1:7" x14ac:dyDescent="0.45">
      <c r="A26" s="17">
        <f t="shared" si="0"/>
        <v>22</v>
      </c>
      <c r="B26" s="18" t="s">
        <v>224</v>
      </c>
      <c r="C26" s="17">
        <v>1</v>
      </c>
      <c r="D26" s="17" t="s">
        <v>194</v>
      </c>
      <c r="E26" s="17" t="s">
        <v>195</v>
      </c>
      <c r="F26" s="17"/>
      <c r="G26" s="26">
        <v>46122</v>
      </c>
    </row>
    <row r="27" spans="1:7" x14ac:dyDescent="0.45">
      <c r="A27" s="17">
        <f t="shared" si="0"/>
        <v>23</v>
      </c>
      <c r="B27" s="18" t="s">
        <v>205</v>
      </c>
      <c r="C27" s="17">
        <v>1</v>
      </c>
      <c r="D27" s="17" t="s">
        <v>149</v>
      </c>
      <c r="E27" s="17" t="s">
        <v>195</v>
      </c>
      <c r="F27" s="17"/>
      <c r="G27" s="26">
        <v>46111</v>
      </c>
    </row>
    <row r="28" spans="1:7" x14ac:dyDescent="0.45">
      <c r="A28" s="17">
        <f t="shared" si="0"/>
        <v>24</v>
      </c>
      <c r="B28" s="18" t="s">
        <v>167</v>
      </c>
      <c r="C28" s="17">
        <v>1</v>
      </c>
      <c r="D28" s="17" t="s">
        <v>149</v>
      </c>
      <c r="E28" s="17" t="s">
        <v>157</v>
      </c>
      <c r="F28" s="17"/>
      <c r="G28" s="26">
        <v>46097</v>
      </c>
    </row>
    <row r="29" spans="1:7" x14ac:dyDescent="0.45">
      <c r="A29" s="17">
        <f t="shared" si="0"/>
        <v>25</v>
      </c>
      <c r="B29" s="18" t="s">
        <v>168</v>
      </c>
      <c r="C29" s="17">
        <v>1</v>
      </c>
      <c r="D29" s="17" t="s">
        <v>149</v>
      </c>
      <c r="E29" s="17" t="s">
        <v>157</v>
      </c>
      <c r="F29" s="17"/>
      <c r="G29" s="26">
        <v>46097</v>
      </c>
    </row>
    <row r="30" spans="1:7" x14ac:dyDescent="0.45">
      <c r="A30" s="17">
        <f t="shared" si="0"/>
        <v>26</v>
      </c>
      <c r="B30" s="18" t="s">
        <v>192</v>
      </c>
      <c r="C30" s="17">
        <v>2</v>
      </c>
      <c r="D30" s="17" t="s">
        <v>149</v>
      </c>
      <c r="E30" s="17" t="s">
        <v>195</v>
      </c>
      <c r="F30" s="17"/>
      <c r="G30" s="26">
        <v>46083</v>
      </c>
    </row>
    <row r="31" spans="1:7" x14ac:dyDescent="0.45">
      <c r="A31" s="17">
        <f t="shared" si="0"/>
        <v>27</v>
      </c>
      <c r="B31" s="18" t="s">
        <v>171</v>
      </c>
      <c r="C31" s="17">
        <v>1</v>
      </c>
      <c r="D31" s="17" t="s">
        <v>149</v>
      </c>
      <c r="E31" s="17" t="s">
        <v>157</v>
      </c>
      <c r="F31" s="17"/>
      <c r="G31" s="26">
        <v>46083</v>
      </c>
    </row>
    <row r="32" spans="1:7" x14ac:dyDescent="0.45">
      <c r="A32" s="17">
        <f t="shared" si="0"/>
        <v>28</v>
      </c>
      <c r="B32" s="18" t="s">
        <v>124</v>
      </c>
      <c r="C32" s="17">
        <v>1</v>
      </c>
      <c r="D32" s="17" t="s">
        <v>149</v>
      </c>
      <c r="E32" s="17" t="s">
        <v>157</v>
      </c>
      <c r="F32" s="17" t="s">
        <v>158</v>
      </c>
      <c r="G32" s="26">
        <v>46083</v>
      </c>
    </row>
    <row r="33" spans="1:7" x14ac:dyDescent="0.45">
      <c r="A33" s="17">
        <f t="shared" si="0"/>
        <v>29</v>
      </c>
      <c r="B33" s="18" t="s">
        <v>126</v>
      </c>
      <c r="C33" s="17">
        <v>1</v>
      </c>
      <c r="D33" s="17" t="s">
        <v>149</v>
      </c>
      <c r="E33" s="17" t="s">
        <v>195</v>
      </c>
      <c r="F33" s="17"/>
      <c r="G33" s="26">
        <v>46083</v>
      </c>
    </row>
    <row r="34" spans="1:7" x14ac:dyDescent="0.45">
      <c r="A34" s="17">
        <f t="shared" si="0"/>
        <v>30</v>
      </c>
      <c r="B34" s="18" t="s">
        <v>180</v>
      </c>
      <c r="C34" s="17">
        <v>1</v>
      </c>
      <c r="D34" s="17" t="s">
        <v>149</v>
      </c>
      <c r="E34" s="17" t="s">
        <v>195</v>
      </c>
      <c r="F34" s="17" t="s">
        <v>158</v>
      </c>
      <c r="G34" s="26">
        <v>46080</v>
      </c>
    </row>
    <row r="35" spans="1:7" x14ac:dyDescent="0.45">
      <c r="A35" s="17">
        <f t="shared" si="0"/>
        <v>31</v>
      </c>
      <c r="B35" s="32" t="s">
        <v>226</v>
      </c>
      <c r="C35" s="31">
        <v>2</v>
      </c>
      <c r="D35" s="31" t="s">
        <v>157</v>
      </c>
      <c r="E35" s="31" t="s">
        <v>157</v>
      </c>
      <c r="F35" s="31" t="s">
        <v>212</v>
      </c>
      <c r="G35" s="33">
        <v>46128</v>
      </c>
    </row>
    <row r="36" spans="1:7" x14ac:dyDescent="0.45">
      <c r="A36" s="17">
        <f t="shared" si="0"/>
        <v>32</v>
      </c>
      <c r="B36" s="32" t="s">
        <v>234</v>
      </c>
      <c r="C36" s="31">
        <v>1</v>
      </c>
      <c r="D36" s="17" t="s">
        <v>195</v>
      </c>
      <c r="E36" s="17" t="s">
        <v>195</v>
      </c>
      <c r="F36" s="31"/>
      <c r="G36" s="26">
        <v>46111</v>
      </c>
    </row>
    <row r="37" spans="1:7" x14ac:dyDescent="0.45">
      <c r="A37" s="17">
        <f t="shared" si="0"/>
        <v>33</v>
      </c>
      <c r="B37" s="18" t="s">
        <v>138</v>
      </c>
      <c r="C37" s="17">
        <v>3</v>
      </c>
      <c r="D37" s="17" t="s">
        <v>157</v>
      </c>
      <c r="E37" s="17" t="s">
        <v>157</v>
      </c>
      <c r="F37" s="17"/>
      <c r="G37" s="26">
        <v>46077</v>
      </c>
    </row>
    <row r="38" spans="1:7" x14ac:dyDescent="0.45">
      <c r="A38" s="17">
        <f t="shared" si="0"/>
        <v>34</v>
      </c>
      <c r="B38" s="18" t="s">
        <v>179</v>
      </c>
      <c r="C38" s="17">
        <v>2</v>
      </c>
      <c r="D38" s="17" t="s">
        <v>149</v>
      </c>
      <c r="E38" s="17" t="s">
        <v>160</v>
      </c>
      <c r="F38" s="17" t="s">
        <v>158</v>
      </c>
      <c r="G38" s="26">
        <v>46097</v>
      </c>
    </row>
    <row r="39" spans="1:7" x14ac:dyDescent="0.45">
      <c r="A39" s="17">
        <f t="shared" si="0"/>
        <v>35</v>
      </c>
      <c r="B39" s="18" t="s">
        <v>187</v>
      </c>
      <c r="C39" s="17">
        <v>3</v>
      </c>
      <c r="D39" s="17" t="s">
        <v>149</v>
      </c>
      <c r="E39" s="17" t="s">
        <v>160</v>
      </c>
      <c r="F39" s="17" t="s">
        <v>158</v>
      </c>
      <c r="G39" s="26">
        <v>46090</v>
      </c>
    </row>
    <row r="40" spans="1:7" x14ac:dyDescent="0.45">
      <c r="A40" s="17">
        <f t="shared" si="0"/>
        <v>36</v>
      </c>
      <c r="B40" s="18" t="s">
        <v>182</v>
      </c>
      <c r="C40" s="17">
        <v>1</v>
      </c>
      <c r="D40" s="17" t="s">
        <v>149</v>
      </c>
      <c r="E40" s="17" t="s">
        <v>160</v>
      </c>
      <c r="F40" s="17"/>
      <c r="G40" s="26">
        <v>46078</v>
      </c>
    </row>
    <row r="41" spans="1:7" x14ac:dyDescent="0.45">
      <c r="A41" s="17">
        <f t="shared" si="0"/>
        <v>37</v>
      </c>
      <c r="B41" s="18" t="s">
        <v>184</v>
      </c>
      <c r="C41" s="17">
        <v>0.5</v>
      </c>
      <c r="D41" s="17" t="s">
        <v>160</v>
      </c>
      <c r="E41" s="17" t="s">
        <v>160</v>
      </c>
      <c r="F41" s="17"/>
      <c r="G41" s="26">
        <v>46078</v>
      </c>
    </row>
    <row r="42" spans="1:7" x14ac:dyDescent="0.45">
      <c r="A42" s="17">
        <f t="shared" si="0"/>
        <v>38</v>
      </c>
      <c r="B42" s="18" t="s">
        <v>186</v>
      </c>
      <c r="C42" s="17">
        <v>0.5</v>
      </c>
      <c r="D42" s="17" t="s">
        <v>160</v>
      </c>
      <c r="E42" s="17" t="s">
        <v>160</v>
      </c>
      <c r="F42" s="17"/>
      <c r="G42" s="26">
        <v>46077</v>
      </c>
    </row>
    <row r="43" spans="1:7" x14ac:dyDescent="0.45">
      <c r="A43" s="17">
        <f t="shared" si="0"/>
        <v>39</v>
      </c>
      <c r="B43" s="18" t="s">
        <v>251</v>
      </c>
      <c r="C43" s="17"/>
      <c r="D43" s="17"/>
      <c r="E43" s="17"/>
      <c r="F43" s="17"/>
      <c r="G43" s="26">
        <v>46181</v>
      </c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64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31</v>
      </c>
      <c r="E53" s="17">
        <f t="shared" si="1"/>
        <v>4</v>
      </c>
      <c r="F53" s="17">
        <f t="shared" si="1"/>
        <v>2</v>
      </c>
      <c r="G53" s="17">
        <f>SUM(D53:F53)</f>
        <v>37</v>
      </c>
    </row>
    <row r="54" spans="2:7" x14ac:dyDescent="0.45">
      <c r="B54" s="21" t="s">
        <v>190</v>
      </c>
      <c r="C54" s="25" t="s">
        <v>157</v>
      </c>
      <c r="D54" s="17">
        <f t="shared" si="1"/>
        <v>14</v>
      </c>
      <c r="E54" s="17">
        <f t="shared" si="1"/>
        <v>6</v>
      </c>
      <c r="F54" s="17">
        <f t="shared" si="1"/>
        <v>0</v>
      </c>
      <c r="G54" s="17">
        <f>SUM(D54:F54)</f>
        <v>20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51</v>
      </c>
      <c r="E56" s="25">
        <f>SUM(E53:E55)</f>
        <v>10</v>
      </c>
      <c r="F56" s="25">
        <f>SUM(F53:F55)</f>
        <v>3</v>
      </c>
      <c r="G56" s="25">
        <f>SUM(G53:G55)</f>
        <v>64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5:E5 D7:E35">
    <cfRule type="containsText" dxfId="137" priority="25" operator="containsText" text="低">
      <formula>NOT(ISERROR(SEARCH("低",D5)))</formula>
    </cfRule>
    <cfRule type="containsText" dxfId="136" priority="26" operator="containsText" text="中">
      <formula>NOT(ISERROR(SEARCH("中",D5)))</formula>
    </cfRule>
    <cfRule type="containsText" dxfId="135" priority="27" operator="containsText" text="高">
      <formula>NOT(ISERROR(SEARCH("高",D5)))</formula>
    </cfRule>
  </conditionalFormatting>
  <conditionalFormatting sqref="D6:E6">
    <cfRule type="containsText" dxfId="134" priority="22" operator="containsText" text="低">
      <formula>NOT(ISERROR(SEARCH("低",D6)))</formula>
    </cfRule>
    <cfRule type="containsText" dxfId="133" priority="23" operator="containsText" text="中">
      <formula>NOT(ISERROR(SEARCH("中",D6)))</formula>
    </cfRule>
    <cfRule type="containsText" dxfId="132" priority="24" operator="containsText" text="高">
      <formula>NOT(ISERROR(SEARCH("高",D6)))</formula>
    </cfRule>
  </conditionalFormatting>
  <conditionalFormatting sqref="D37:E37 D40:E40">
    <cfRule type="containsText" dxfId="131" priority="19" operator="containsText" text="低">
      <formula>NOT(ISERROR(SEARCH("低",D37)))</formula>
    </cfRule>
    <cfRule type="containsText" dxfId="130" priority="20" operator="containsText" text="中">
      <formula>NOT(ISERROR(SEARCH("中",D37)))</formula>
    </cfRule>
    <cfRule type="containsText" dxfId="129" priority="21" operator="containsText" text="高">
      <formula>NOT(ISERROR(SEARCH("高",D37)))</formula>
    </cfRule>
  </conditionalFormatting>
  <conditionalFormatting sqref="D39:E39">
    <cfRule type="containsText" dxfId="128" priority="16" operator="containsText" text="低">
      <formula>NOT(ISERROR(SEARCH("低",D39)))</formula>
    </cfRule>
    <cfRule type="containsText" dxfId="127" priority="17" operator="containsText" text="中">
      <formula>NOT(ISERROR(SEARCH("中",D39)))</formula>
    </cfRule>
    <cfRule type="containsText" dxfId="126" priority="18" operator="containsText" text="高">
      <formula>NOT(ISERROR(SEARCH("高",D39)))</formula>
    </cfRule>
  </conditionalFormatting>
  <conditionalFormatting sqref="D41:E41">
    <cfRule type="containsText" dxfId="125" priority="13" operator="containsText" text="低">
      <formula>NOT(ISERROR(SEARCH("低",D41)))</formula>
    </cfRule>
    <cfRule type="containsText" dxfId="124" priority="14" operator="containsText" text="中">
      <formula>NOT(ISERROR(SEARCH("中",D41)))</formula>
    </cfRule>
    <cfRule type="containsText" dxfId="123" priority="15" operator="containsText" text="高">
      <formula>NOT(ISERROR(SEARCH("高",D41)))</formula>
    </cfRule>
  </conditionalFormatting>
  <conditionalFormatting sqref="D36:E36">
    <cfRule type="containsText" dxfId="122" priority="10" operator="containsText" text="低">
      <formula>NOT(ISERROR(SEARCH("低",D36)))</formula>
    </cfRule>
    <cfRule type="containsText" dxfId="121" priority="11" operator="containsText" text="中">
      <formula>NOT(ISERROR(SEARCH("中",D36)))</formula>
    </cfRule>
    <cfRule type="containsText" dxfId="120" priority="12" operator="containsText" text="高">
      <formula>NOT(ISERROR(SEARCH("高",D36)))</formula>
    </cfRule>
  </conditionalFormatting>
  <conditionalFormatting sqref="D38:E38">
    <cfRule type="containsText" dxfId="119" priority="7" operator="containsText" text="低">
      <formula>NOT(ISERROR(SEARCH("低",D38)))</formula>
    </cfRule>
    <cfRule type="containsText" dxfId="118" priority="8" operator="containsText" text="中">
      <formula>NOT(ISERROR(SEARCH("中",D38)))</formula>
    </cfRule>
    <cfRule type="containsText" dxfId="117" priority="9" operator="containsText" text="高">
      <formula>NOT(ISERROR(SEARCH("高",D38)))</formula>
    </cfRule>
  </conditionalFormatting>
  <conditionalFormatting sqref="D42:E42">
    <cfRule type="containsText" dxfId="116" priority="4" operator="containsText" text="低">
      <formula>NOT(ISERROR(SEARCH("低",D42)))</formula>
    </cfRule>
    <cfRule type="containsText" dxfId="115" priority="5" operator="containsText" text="中">
      <formula>NOT(ISERROR(SEARCH("中",D42)))</formula>
    </cfRule>
    <cfRule type="containsText" dxfId="114" priority="6" operator="containsText" text="高">
      <formula>NOT(ISERROR(SEARCH("高",D42)))</formula>
    </cfRule>
  </conditionalFormatting>
  <conditionalFormatting sqref="D43:E43">
    <cfRule type="containsText" dxfId="113" priority="1" operator="containsText" text="低">
      <formula>NOT(ISERROR(SEARCH("低",D43)))</formula>
    </cfRule>
    <cfRule type="containsText" dxfId="112" priority="2" operator="containsText" text="中">
      <formula>NOT(ISERROR(SEARCH("中",D43)))</formula>
    </cfRule>
    <cfRule type="containsText" dxfId="111" priority="3" operator="containsText" text="高">
      <formula>NOT(ISERROR(SEARCH("高",D43)))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9569-B98F-4A42-8945-6DDC76BFE773}">
  <sheetPr>
    <pageSetUpPr fitToPage="1"/>
  </sheetPr>
  <dimension ref="A1:G56"/>
  <sheetViews>
    <sheetView topLeftCell="A31" zoomScaleNormal="100" workbookViewId="0">
      <selection activeCell="G42" sqref="A4:G42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26-06-01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247</v>
      </c>
      <c r="C5" s="17">
        <v>2</v>
      </c>
      <c r="D5" s="17" t="s">
        <v>149</v>
      </c>
      <c r="E5" s="17" t="s">
        <v>194</v>
      </c>
      <c r="F5" s="17"/>
      <c r="G5" s="26">
        <v>46181</v>
      </c>
    </row>
    <row r="6" spans="1:7" x14ac:dyDescent="0.45">
      <c r="A6" s="17">
        <f t="shared" si="0"/>
        <v>2</v>
      </c>
      <c r="B6" s="18" t="s">
        <v>248</v>
      </c>
      <c r="C6" s="17">
        <v>1</v>
      </c>
      <c r="D6" s="17" t="s">
        <v>149</v>
      </c>
      <c r="E6" s="17" t="s">
        <v>194</v>
      </c>
      <c r="F6" s="17"/>
      <c r="G6" s="26">
        <v>46181</v>
      </c>
    </row>
    <row r="7" spans="1:7" x14ac:dyDescent="0.45">
      <c r="A7" s="17">
        <f t="shared" si="0"/>
        <v>3</v>
      </c>
      <c r="B7" s="18" t="s">
        <v>245</v>
      </c>
      <c r="C7" s="17">
        <v>1</v>
      </c>
      <c r="D7" s="17" t="s">
        <v>149</v>
      </c>
      <c r="E7" s="17" t="s">
        <v>194</v>
      </c>
      <c r="F7" s="17"/>
      <c r="G7" s="26">
        <v>46178</v>
      </c>
    </row>
    <row r="8" spans="1:7" x14ac:dyDescent="0.45">
      <c r="A8" s="17">
        <f t="shared" si="0"/>
        <v>4</v>
      </c>
      <c r="B8" s="18" t="s">
        <v>246</v>
      </c>
      <c r="C8" s="17">
        <v>1</v>
      </c>
      <c r="D8" s="17" t="s">
        <v>149</v>
      </c>
      <c r="E8" s="17" t="s">
        <v>194</v>
      </c>
      <c r="F8" s="17"/>
      <c r="G8" s="26">
        <v>46178</v>
      </c>
    </row>
    <row r="9" spans="1:7" x14ac:dyDescent="0.45">
      <c r="A9" s="17">
        <f t="shared" si="0"/>
        <v>5</v>
      </c>
      <c r="B9" s="18" t="s">
        <v>249</v>
      </c>
      <c r="C9" s="17">
        <v>2</v>
      </c>
      <c r="D9" s="17" t="s">
        <v>149</v>
      </c>
      <c r="E9" s="17" t="s">
        <v>194</v>
      </c>
      <c r="F9" s="17" t="s">
        <v>212</v>
      </c>
      <c r="G9" s="26">
        <v>46178</v>
      </c>
    </row>
    <row r="10" spans="1:7" x14ac:dyDescent="0.45">
      <c r="A10" s="17">
        <f t="shared" si="0"/>
        <v>6</v>
      </c>
      <c r="B10" s="18" t="s">
        <v>243</v>
      </c>
      <c r="C10" s="17">
        <v>1</v>
      </c>
      <c r="D10" s="17" t="s">
        <v>149</v>
      </c>
      <c r="E10" s="17" t="s">
        <v>194</v>
      </c>
      <c r="F10" s="17"/>
      <c r="G10" s="26">
        <v>46177</v>
      </c>
    </row>
    <row r="11" spans="1:7" x14ac:dyDescent="0.45">
      <c r="A11" s="17">
        <f t="shared" si="0"/>
        <v>7</v>
      </c>
      <c r="B11" s="18" t="s">
        <v>239</v>
      </c>
      <c r="C11" s="17">
        <v>2</v>
      </c>
      <c r="D11" s="17" t="s">
        <v>149</v>
      </c>
      <c r="E11" s="17" t="s">
        <v>194</v>
      </c>
      <c r="F11" s="17"/>
      <c r="G11" s="26">
        <v>46164</v>
      </c>
    </row>
    <row r="12" spans="1:7" x14ac:dyDescent="0.45">
      <c r="A12" s="17">
        <f t="shared" si="0"/>
        <v>8</v>
      </c>
      <c r="B12" s="18" t="s">
        <v>238</v>
      </c>
      <c r="C12" s="17">
        <v>2</v>
      </c>
      <c r="D12" s="17" t="s">
        <v>149</v>
      </c>
      <c r="E12" s="17" t="s">
        <v>194</v>
      </c>
      <c r="F12" s="17" t="s">
        <v>212</v>
      </c>
      <c r="G12" s="26">
        <v>46162</v>
      </c>
    </row>
    <row r="13" spans="1:7" x14ac:dyDescent="0.45">
      <c r="A13" s="17">
        <f t="shared" si="0"/>
        <v>9</v>
      </c>
      <c r="B13" s="24" t="s">
        <v>240</v>
      </c>
      <c r="C13" s="17">
        <v>2</v>
      </c>
      <c r="D13" s="17" t="s">
        <v>149</v>
      </c>
      <c r="E13" s="17" t="s">
        <v>194</v>
      </c>
      <c r="F13" s="17"/>
      <c r="G13" s="26">
        <v>46160</v>
      </c>
    </row>
    <row r="14" spans="1:7" x14ac:dyDescent="0.45">
      <c r="A14" s="17">
        <f t="shared" si="0"/>
        <v>10</v>
      </c>
      <c r="B14" s="18" t="s">
        <v>241</v>
      </c>
      <c r="C14" s="17">
        <v>5</v>
      </c>
      <c r="D14" s="17" t="s">
        <v>149</v>
      </c>
      <c r="E14" s="17" t="s">
        <v>194</v>
      </c>
      <c r="F14" s="17"/>
      <c r="G14" s="26">
        <v>46160</v>
      </c>
    </row>
    <row r="15" spans="1:7" x14ac:dyDescent="0.45">
      <c r="A15" s="17">
        <f t="shared" si="0"/>
        <v>11</v>
      </c>
      <c r="B15" s="18" t="s">
        <v>227</v>
      </c>
      <c r="C15" s="17">
        <v>5</v>
      </c>
      <c r="D15" s="17" t="s">
        <v>149</v>
      </c>
      <c r="E15" s="17" t="s">
        <v>194</v>
      </c>
      <c r="F15" s="17" t="s">
        <v>212</v>
      </c>
      <c r="G15" s="26">
        <v>46143</v>
      </c>
    </row>
    <row r="16" spans="1:7" x14ac:dyDescent="0.45">
      <c r="A16" s="17">
        <f t="shared" si="0"/>
        <v>12</v>
      </c>
      <c r="B16" s="18" t="s">
        <v>230</v>
      </c>
      <c r="C16" s="17">
        <v>1</v>
      </c>
      <c r="D16" s="17" t="s">
        <v>194</v>
      </c>
      <c r="E16" s="17" t="s">
        <v>149</v>
      </c>
      <c r="F16" s="17" t="s">
        <v>212</v>
      </c>
      <c r="G16" s="26">
        <v>46143</v>
      </c>
    </row>
    <row r="17" spans="1:7" x14ac:dyDescent="0.45">
      <c r="A17" s="17">
        <f t="shared" si="0"/>
        <v>13</v>
      </c>
      <c r="B17" s="18" t="s">
        <v>232</v>
      </c>
      <c r="C17" s="17">
        <v>2</v>
      </c>
      <c r="D17" s="17" t="s">
        <v>194</v>
      </c>
      <c r="E17" s="17" t="s">
        <v>194</v>
      </c>
      <c r="F17" s="17"/>
      <c r="G17" s="26">
        <v>46129</v>
      </c>
    </row>
    <row r="18" spans="1:7" x14ac:dyDescent="0.45">
      <c r="A18" s="17">
        <f t="shared" si="0"/>
        <v>14</v>
      </c>
      <c r="B18" s="18" t="s">
        <v>233</v>
      </c>
      <c r="C18" s="17">
        <v>2</v>
      </c>
      <c r="D18" s="17" t="s">
        <v>194</v>
      </c>
      <c r="E18" s="17" t="s">
        <v>194</v>
      </c>
      <c r="F18" s="17"/>
      <c r="G18" s="26">
        <v>46129</v>
      </c>
    </row>
    <row r="19" spans="1:7" x14ac:dyDescent="0.45">
      <c r="A19" s="17">
        <f t="shared" si="0"/>
        <v>15</v>
      </c>
      <c r="B19" s="18" t="s">
        <v>215</v>
      </c>
      <c r="C19" s="17">
        <v>2</v>
      </c>
      <c r="D19" s="17" t="s">
        <v>194</v>
      </c>
      <c r="E19" s="17" t="s">
        <v>194</v>
      </c>
      <c r="F19" s="17" t="s">
        <v>212</v>
      </c>
      <c r="G19" s="26">
        <v>46115</v>
      </c>
    </row>
    <row r="20" spans="1:7" x14ac:dyDescent="0.45">
      <c r="A20" s="17">
        <f t="shared" si="0"/>
        <v>16</v>
      </c>
      <c r="B20" s="18" t="s">
        <v>244</v>
      </c>
      <c r="C20" s="17">
        <v>1</v>
      </c>
      <c r="D20" s="17" t="s">
        <v>195</v>
      </c>
      <c r="E20" s="17" t="s">
        <v>194</v>
      </c>
      <c r="F20" s="17"/>
      <c r="G20" s="26">
        <v>46178</v>
      </c>
    </row>
    <row r="21" spans="1:7" x14ac:dyDescent="0.45">
      <c r="A21" s="17">
        <f t="shared" si="0"/>
        <v>17</v>
      </c>
      <c r="B21" s="18" t="s">
        <v>197</v>
      </c>
      <c r="C21" s="17">
        <v>3</v>
      </c>
      <c r="D21" s="17" t="s">
        <v>195</v>
      </c>
      <c r="E21" s="17" t="s">
        <v>194</v>
      </c>
      <c r="F21" s="17"/>
      <c r="G21" s="26">
        <v>46104</v>
      </c>
    </row>
    <row r="22" spans="1:7" x14ac:dyDescent="0.45">
      <c r="A22" s="17">
        <f t="shared" si="0"/>
        <v>18</v>
      </c>
      <c r="B22" s="18" t="s">
        <v>203</v>
      </c>
      <c r="C22" s="17">
        <v>1</v>
      </c>
      <c r="D22" s="17" t="s">
        <v>160</v>
      </c>
      <c r="E22" s="17" t="s">
        <v>149</v>
      </c>
      <c r="F22" s="17"/>
      <c r="G22" s="26">
        <v>46101</v>
      </c>
    </row>
    <row r="23" spans="1:7" x14ac:dyDescent="0.45">
      <c r="A23" s="17">
        <f t="shared" si="0"/>
        <v>19</v>
      </c>
      <c r="B23" s="18" t="s">
        <v>202</v>
      </c>
      <c r="C23" s="17">
        <v>1</v>
      </c>
      <c r="D23" s="17" t="s">
        <v>160</v>
      </c>
      <c r="E23" s="17" t="s">
        <v>149</v>
      </c>
      <c r="F23" s="17"/>
      <c r="G23" s="26">
        <v>46100</v>
      </c>
    </row>
    <row r="24" spans="1:7" x14ac:dyDescent="0.45">
      <c r="A24" s="17">
        <f t="shared" si="0"/>
        <v>20</v>
      </c>
      <c r="B24" s="18" t="s">
        <v>250</v>
      </c>
      <c r="C24" s="17">
        <v>3</v>
      </c>
      <c r="D24" s="17" t="s">
        <v>149</v>
      </c>
      <c r="E24" s="17" t="s">
        <v>157</v>
      </c>
      <c r="F24" s="17" t="s">
        <v>212</v>
      </c>
      <c r="G24" s="26">
        <v>46178</v>
      </c>
    </row>
    <row r="25" spans="1:7" x14ac:dyDescent="0.45">
      <c r="A25" s="17">
        <f t="shared" si="0"/>
        <v>21</v>
      </c>
      <c r="B25" s="18" t="s">
        <v>237</v>
      </c>
      <c r="C25" s="17">
        <v>1</v>
      </c>
      <c r="D25" s="17" t="s">
        <v>194</v>
      </c>
      <c r="E25" s="17" t="s">
        <v>195</v>
      </c>
      <c r="F25" s="17"/>
      <c r="G25" s="26">
        <v>46129</v>
      </c>
    </row>
    <row r="26" spans="1:7" x14ac:dyDescent="0.45">
      <c r="A26" s="17">
        <f t="shared" si="0"/>
        <v>22</v>
      </c>
      <c r="B26" s="18" t="s">
        <v>224</v>
      </c>
      <c r="C26" s="17">
        <v>1</v>
      </c>
      <c r="D26" s="17" t="s">
        <v>194</v>
      </c>
      <c r="E26" s="17" t="s">
        <v>195</v>
      </c>
      <c r="F26" s="17"/>
      <c r="G26" s="26">
        <v>46122</v>
      </c>
    </row>
    <row r="27" spans="1:7" x14ac:dyDescent="0.45">
      <c r="A27" s="17">
        <f t="shared" si="0"/>
        <v>23</v>
      </c>
      <c r="B27" s="18" t="s">
        <v>205</v>
      </c>
      <c r="C27" s="17">
        <v>1</v>
      </c>
      <c r="D27" s="17" t="s">
        <v>149</v>
      </c>
      <c r="E27" s="17" t="s">
        <v>195</v>
      </c>
      <c r="F27" s="17"/>
      <c r="G27" s="26">
        <v>46111</v>
      </c>
    </row>
    <row r="28" spans="1:7" x14ac:dyDescent="0.45">
      <c r="A28" s="17">
        <f t="shared" si="0"/>
        <v>24</v>
      </c>
      <c r="B28" s="18" t="s">
        <v>167</v>
      </c>
      <c r="C28" s="17">
        <v>1</v>
      </c>
      <c r="D28" s="17" t="s">
        <v>149</v>
      </c>
      <c r="E28" s="17" t="s">
        <v>157</v>
      </c>
      <c r="F28" s="17"/>
      <c r="G28" s="26">
        <v>46097</v>
      </c>
    </row>
    <row r="29" spans="1:7" x14ac:dyDescent="0.45">
      <c r="A29" s="17">
        <f t="shared" si="0"/>
        <v>25</v>
      </c>
      <c r="B29" s="18" t="s">
        <v>168</v>
      </c>
      <c r="C29" s="17">
        <v>1</v>
      </c>
      <c r="D29" s="17" t="s">
        <v>149</v>
      </c>
      <c r="E29" s="17" t="s">
        <v>157</v>
      </c>
      <c r="F29" s="17"/>
      <c r="G29" s="26">
        <v>46097</v>
      </c>
    </row>
    <row r="30" spans="1:7" x14ac:dyDescent="0.45">
      <c r="A30" s="17">
        <f t="shared" si="0"/>
        <v>26</v>
      </c>
      <c r="B30" s="18" t="s">
        <v>192</v>
      </c>
      <c r="C30" s="17">
        <v>2</v>
      </c>
      <c r="D30" s="17" t="s">
        <v>149</v>
      </c>
      <c r="E30" s="17" t="s">
        <v>195</v>
      </c>
      <c r="F30" s="17"/>
      <c r="G30" s="26">
        <v>46083</v>
      </c>
    </row>
    <row r="31" spans="1:7" x14ac:dyDescent="0.45">
      <c r="A31" s="17">
        <f t="shared" si="0"/>
        <v>27</v>
      </c>
      <c r="B31" s="18" t="s">
        <v>171</v>
      </c>
      <c r="C31" s="17">
        <v>1</v>
      </c>
      <c r="D31" s="17" t="s">
        <v>149</v>
      </c>
      <c r="E31" s="17" t="s">
        <v>157</v>
      </c>
      <c r="F31" s="17"/>
      <c r="G31" s="26">
        <v>46083</v>
      </c>
    </row>
    <row r="32" spans="1:7" x14ac:dyDescent="0.45">
      <c r="A32" s="17">
        <f t="shared" si="0"/>
        <v>28</v>
      </c>
      <c r="B32" s="18" t="s">
        <v>124</v>
      </c>
      <c r="C32" s="17">
        <v>1</v>
      </c>
      <c r="D32" s="17" t="s">
        <v>149</v>
      </c>
      <c r="E32" s="17" t="s">
        <v>157</v>
      </c>
      <c r="F32" s="17" t="s">
        <v>158</v>
      </c>
      <c r="G32" s="26">
        <v>46083</v>
      </c>
    </row>
    <row r="33" spans="1:7" x14ac:dyDescent="0.45">
      <c r="A33" s="17">
        <f t="shared" si="0"/>
        <v>29</v>
      </c>
      <c r="B33" s="18" t="s">
        <v>126</v>
      </c>
      <c r="C33" s="17">
        <v>1</v>
      </c>
      <c r="D33" s="17" t="s">
        <v>149</v>
      </c>
      <c r="E33" s="17" t="s">
        <v>195</v>
      </c>
      <c r="F33" s="17"/>
      <c r="G33" s="26">
        <v>46083</v>
      </c>
    </row>
    <row r="34" spans="1:7" x14ac:dyDescent="0.45">
      <c r="A34" s="17">
        <f t="shared" si="0"/>
        <v>30</v>
      </c>
      <c r="B34" s="18" t="s">
        <v>180</v>
      </c>
      <c r="C34" s="17">
        <v>1</v>
      </c>
      <c r="D34" s="17" t="s">
        <v>149</v>
      </c>
      <c r="E34" s="17" t="s">
        <v>195</v>
      </c>
      <c r="F34" s="17" t="s">
        <v>158</v>
      </c>
      <c r="G34" s="26">
        <v>46080</v>
      </c>
    </row>
    <row r="35" spans="1:7" x14ac:dyDescent="0.45">
      <c r="A35" s="17">
        <f t="shared" si="0"/>
        <v>31</v>
      </c>
      <c r="B35" s="32" t="s">
        <v>226</v>
      </c>
      <c r="C35" s="31">
        <v>2</v>
      </c>
      <c r="D35" s="31" t="s">
        <v>157</v>
      </c>
      <c r="E35" s="31" t="s">
        <v>157</v>
      </c>
      <c r="F35" s="31" t="s">
        <v>212</v>
      </c>
      <c r="G35" s="33">
        <v>46128</v>
      </c>
    </row>
    <row r="36" spans="1:7" x14ac:dyDescent="0.45">
      <c r="A36" s="17">
        <f t="shared" si="0"/>
        <v>32</v>
      </c>
      <c r="B36" s="32" t="s">
        <v>234</v>
      </c>
      <c r="C36" s="31">
        <v>1</v>
      </c>
      <c r="D36" s="17" t="s">
        <v>195</v>
      </c>
      <c r="E36" s="17" t="s">
        <v>195</v>
      </c>
      <c r="F36" s="31"/>
      <c r="G36" s="26">
        <v>46111</v>
      </c>
    </row>
    <row r="37" spans="1:7" x14ac:dyDescent="0.45">
      <c r="A37" s="17">
        <f t="shared" si="0"/>
        <v>33</v>
      </c>
      <c r="B37" s="18" t="s">
        <v>138</v>
      </c>
      <c r="C37" s="17">
        <v>3</v>
      </c>
      <c r="D37" s="17" t="s">
        <v>157</v>
      </c>
      <c r="E37" s="17" t="s">
        <v>157</v>
      </c>
      <c r="F37" s="17"/>
      <c r="G37" s="26">
        <v>46077</v>
      </c>
    </row>
    <row r="38" spans="1:7" x14ac:dyDescent="0.45">
      <c r="A38" s="17">
        <f t="shared" si="0"/>
        <v>34</v>
      </c>
      <c r="B38" s="18" t="s">
        <v>179</v>
      </c>
      <c r="C38" s="17">
        <v>2</v>
      </c>
      <c r="D38" s="17" t="s">
        <v>149</v>
      </c>
      <c r="E38" s="17" t="s">
        <v>160</v>
      </c>
      <c r="F38" s="17" t="s">
        <v>158</v>
      </c>
      <c r="G38" s="26">
        <v>46097</v>
      </c>
    </row>
    <row r="39" spans="1:7" x14ac:dyDescent="0.45">
      <c r="A39" s="17">
        <f t="shared" si="0"/>
        <v>35</v>
      </c>
      <c r="B39" s="18" t="s">
        <v>187</v>
      </c>
      <c r="C39" s="17">
        <v>3</v>
      </c>
      <c r="D39" s="17" t="s">
        <v>149</v>
      </c>
      <c r="E39" s="17" t="s">
        <v>160</v>
      </c>
      <c r="F39" s="17" t="s">
        <v>158</v>
      </c>
      <c r="G39" s="26">
        <v>46090</v>
      </c>
    </row>
    <row r="40" spans="1:7" x14ac:dyDescent="0.45">
      <c r="A40" s="17">
        <f t="shared" si="0"/>
        <v>36</v>
      </c>
      <c r="B40" s="18" t="s">
        <v>182</v>
      </c>
      <c r="C40" s="17">
        <v>1</v>
      </c>
      <c r="D40" s="17" t="s">
        <v>149</v>
      </c>
      <c r="E40" s="17" t="s">
        <v>160</v>
      </c>
      <c r="F40" s="17"/>
      <c r="G40" s="26">
        <v>46078</v>
      </c>
    </row>
    <row r="41" spans="1:7" x14ac:dyDescent="0.45">
      <c r="A41" s="17">
        <f t="shared" si="0"/>
        <v>37</v>
      </c>
      <c r="B41" s="18" t="s">
        <v>184</v>
      </c>
      <c r="C41" s="17">
        <v>0.5</v>
      </c>
      <c r="D41" s="17" t="s">
        <v>160</v>
      </c>
      <c r="E41" s="17" t="s">
        <v>160</v>
      </c>
      <c r="F41" s="17"/>
      <c r="G41" s="26">
        <v>46078</v>
      </c>
    </row>
    <row r="42" spans="1:7" x14ac:dyDescent="0.45">
      <c r="A42" s="17">
        <f t="shared" si="0"/>
        <v>38</v>
      </c>
      <c r="B42" s="18" t="s">
        <v>186</v>
      </c>
      <c r="C42" s="17">
        <v>0.5</v>
      </c>
      <c r="D42" s="17" t="s">
        <v>160</v>
      </c>
      <c r="E42" s="17" t="s">
        <v>160</v>
      </c>
      <c r="F42" s="17"/>
      <c r="G42" s="26">
        <v>46077</v>
      </c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64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31</v>
      </c>
      <c r="E53" s="17">
        <f t="shared" si="1"/>
        <v>4</v>
      </c>
      <c r="F53" s="17">
        <f t="shared" si="1"/>
        <v>2</v>
      </c>
      <c r="G53" s="17">
        <f>SUM(D53:F53)</f>
        <v>37</v>
      </c>
    </row>
    <row r="54" spans="2:7" x14ac:dyDescent="0.45">
      <c r="B54" s="21" t="s">
        <v>190</v>
      </c>
      <c r="C54" s="25" t="s">
        <v>157</v>
      </c>
      <c r="D54" s="17">
        <f t="shared" si="1"/>
        <v>14</v>
      </c>
      <c r="E54" s="17">
        <f t="shared" si="1"/>
        <v>6</v>
      </c>
      <c r="F54" s="17">
        <f t="shared" si="1"/>
        <v>0</v>
      </c>
      <c r="G54" s="17">
        <f>SUM(D54:F54)</f>
        <v>20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51</v>
      </c>
      <c r="E56" s="25">
        <f>SUM(E53:E55)</f>
        <v>10</v>
      </c>
      <c r="F56" s="25">
        <f>SUM(F53:F55)</f>
        <v>3</v>
      </c>
      <c r="G56" s="25">
        <f>SUM(G53:G55)</f>
        <v>64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5:E5 D7:E35">
    <cfRule type="containsText" dxfId="110" priority="37" operator="containsText" text="低">
      <formula>NOT(ISERROR(SEARCH("低",D5)))</formula>
    </cfRule>
    <cfRule type="containsText" dxfId="109" priority="38" operator="containsText" text="中">
      <formula>NOT(ISERROR(SEARCH("中",D5)))</formula>
    </cfRule>
    <cfRule type="containsText" dxfId="108" priority="39" operator="containsText" text="高">
      <formula>NOT(ISERROR(SEARCH("高",D5)))</formula>
    </cfRule>
  </conditionalFormatting>
  <conditionalFormatting sqref="D6:E6">
    <cfRule type="containsText" dxfId="107" priority="28" operator="containsText" text="低">
      <formula>NOT(ISERROR(SEARCH("低",D6)))</formula>
    </cfRule>
    <cfRule type="containsText" dxfId="106" priority="29" operator="containsText" text="中">
      <formula>NOT(ISERROR(SEARCH("中",D6)))</formula>
    </cfRule>
    <cfRule type="containsText" dxfId="105" priority="30" operator="containsText" text="高">
      <formula>NOT(ISERROR(SEARCH("高",D6)))</formula>
    </cfRule>
  </conditionalFormatting>
  <conditionalFormatting sqref="D37:E37 D40:E40">
    <cfRule type="containsText" dxfId="104" priority="19" operator="containsText" text="低">
      <formula>NOT(ISERROR(SEARCH("低",D37)))</formula>
    </cfRule>
    <cfRule type="containsText" dxfId="103" priority="20" operator="containsText" text="中">
      <formula>NOT(ISERROR(SEARCH("中",D37)))</formula>
    </cfRule>
    <cfRule type="containsText" dxfId="102" priority="21" operator="containsText" text="高">
      <formula>NOT(ISERROR(SEARCH("高",D37)))</formula>
    </cfRule>
  </conditionalFormatting>
  <conditionalFormatting sqref="D39:E39">
    <cfRule type="containsText" dxfId="101" priority="16" operator="containsText" text="低">
      <formula>NOT(ISERROR(SEARCH("低",D39)))</formula>
    </cfRule>
    <cfRule type="containsText" dxfId="100" priority="17" operator="containsText" text="中">
      <formula>NOT(ISERROR(SEARCH("中",D39)))</formula>
    </cfRule>
    <cfRule type="containsText" dxfId="99" priority="18" operator="containsText" text="高">
      <formula>NOT(ISERROR(SEARCH("高",D39)))</formula>
    </cfRule>
  </conditionalFormatting>
  <conditionalFormatting sqref="D41:E41">
    <cfRule type="containsText" dxfId="98" priority="13" operator="containsText" text="低">
      <formula>NOT(ISERROR(SEARCH("低",D41)))</formula>
    </cfRule>
    <cfRule type="containsText" dxfId="97" priority="14" operator="containsText" text="中">
      <formula>NOT(ISERROR(SEARCH("中",D41)))</formula>
    </cfRule>
    <cfRule type="containsText" dxfId="96" priority="15" operator="containsText" text="高">
      <formula>NOT(ISERROR(SEARCH("高",D41)))</formula>
    </cfRule>
  </conditionalFormatting>
  <conditionalFormatting sqref="D36:E36">
    <cfRule type="containsText" dxfId="95" priority="10" operator="containsText" text="低">
      <formula>NOT(ISERROR(SEARCH("低",D36)))</formula>
    </cfRule>
    <cfRule type="containsText" dxfId="94" priority="11" operator="containsText" text="中">
      <formula>NOT(ISERROR(SEARCH("中",D36)))</formula>
    </cfRule>
    <cfRule type="containsText" dxfId="93" priority="12" operator="containsText" text="高">
      <formula>NOT(ISERROR(SEARCH("高",D36)))</formula>
    </cfRule>
  </conditionalFormatting>
  <conditionalFormatting sqref="D38:E38">
    <cfRule type="containsText" dxfId="92" priority="7" operator="containsText" text="低">
      <formula>NOT(ISERROR(SEARCH("低",D38)))</formula>
    </cfRule>
    <cfRule type="containsText" dxfId="91" priority="8" operator="containsText" text="中">
      <formula>NOT(ISERROR(SEARCH("中",D38)))</formula>
    </cfRule>
    <cfRule type="containsText" dxfId="90" priority="9" operator="containsText" text="高">
      <formula>NOT(ISERROR(SEARCH("高",D38)))</formula>
    </cfRule>
  </conditionalFormatting>
  <conditionalFormatting sqref="D42:E42">
    <cfRule type="containsText" dxfId="89" priority="4" operator="containsText" text="低">
      <formula>NOT(ISERROR(SEARCH("低",D42)))</formula>
    </cfRule>
    <cfRule type="containsText" dxfId="88" priority="5" operator="containsText" text="中">
      <formula>NOT(ISERROR(SEARCH("中",D42)))</formula>
    </cfRule>
    <cfRule type="containsText" dxfId="87" priority="6" operator="containsText" text="高">
      <formula>NOT(ISERROR(SEARCH("高",D42)))</formula>
    </cfRule>
  </conditionalFormatting>
  <conditionalFormatting sqref="D43:E43">
    <cfRule type="containsText" dxfId="86" priority="1" operator="containsText" text="低">
      <formula>NOT(ISERROR(SEARCH("低",D43)))</formula>
    </cfRule>
    <cfRule type="containsText" dxfId="85" priority="2" operator="containsText" text="中">
      <formula>NOT(ISERROR(SEARCH("中",D43)))</formula>
    </cfRule>
    <cfRule type="containsText" dxfId="84" priority="3" operator="containsText" text="高">
      <formula>NOT(ISERROR(SEARCH("高",D43)))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5A70-24C0-40A3-ABE3-E4140965B815}">
  <sheetPr>
    <pageSetUpPr fitToPage="1"/>
  </sheetPr>
  <dimension ref="A1:G56"/>
  <sheetViews>
    <sheetView topLeftCell="A19" zoomScaleNormal="100" workbookViewId="0">
      <selection activeCell="A38" sqref="A38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26-05-25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215</v>
      </c>
      <c r="C5" s="17">
        <v>2</v>
      </c>
      <c r="D5" s="17" t="s">
        <v>194</v>
      </c>
      <c r="E5" s="17" t="s">
        <v>194</v>
      </c>
      <c r="F5" s="17" t="s">
        <v>212</v>
      </c>
      <c r="G5" s="26">
        <v>46115</v>
      </c>
    </row>
    <row r="6" spans="1:7" x14ac:dyDescent="0.45">
      <c r="A6" s="17">
        <f t="shared" si="0"/>
        <v>2</v>
      </c>
      <c r="B6" s="18" t="s">
        <v>232</v>
      </c>
      <c r="C6" s="17">
        <v>2</v>
      </c>
      <c r="D6" s="17" t="s">
        <v>194</v>
      </c>
      <c r="E6" s="17" t="s">
        <v>194</v>
      </c>
      <c r="F6" s="17"/>
      <c r="G6" s="26">
        <v>46129</v>
      </c>
    </row>
    <row r="7" spans="1:7" x14ac:dyDescent="0.45">
      <c r="A7" s="17">
        <f t="shared" si="0"/>
        <v>3</v>
      </c>
      <c r="B7" s="18" t="s">
        <v>233</v>
      </c>
      <c r="C7" s="17">
        <v>2</v>
      </c>
      <c r="D7" s="17" t="s">
        <v>194</v>
      </c>
      <c r="E7" s="17" t="s">
        <v>194</v>
      </c>
      <c r="F7" s="17"/>
      <c r="G7" s="26">
        <v>46129</v>
      </c>
    </row>
    <row r="8" spans="1:7" x14ac:dyDescent="0.45">
      <c r="A8" s="17">
        <f t="shared" si="0"/>
        <v>4</v>
      </c>
      <c r="B8" s="18" t="s">
        <v>227</v>
      </c>
      <c r="C8" s="17">
        <v>5</v>
      </c>
      <c r="D8" s="17" t="s">
        <v>149</v>
      </c>
      <c r="E8" s="17" t="s">
        <v>194</v>
      </c>
      <c r="F8" s="17" t="s">
        <v>212</v>
      </c>
      <c r="G8" s="26">
        <v>46143</v>
      </c>
    </row>
    <row r="9" spans="1:7" x14ac:dyDescent="0.45">
      <c r="A9" s="17">
        <f t="shared" si="0"/>
        <v>5</v>
      </c>
      <c r="B9" s="18" t="s">
        <v>230</v>
      </c>
      <c r="C9" s="17">
        <v>1</v>
      </c>
      <c r="D9" s="17" t="s">
        <v>194</v>
      </c>
      <c r="E9" s="17" t="s">
        <v>149</v>
      </c>
      <c r="F9" s="17" t="s">
        <v>212</v>
      </c>
      <c r="G9" s="26">
        <v>46143</v>
      </c>
    </row>
    <row r="10" spans="1:7" x14ac:dyDescent="0.45">
      <c r="A10" s="17">
        <f t="shared" si="0"/>
        <v>6</v>
      </c>
      <c r="B10" s="24" t="s">
        <v>240</v>
      </c>
      <c r="C10" s="17">
        <v>2</v>
      </c>
      <c r="D10" s="17" t="s">
        <v>149</v>
      </c>
      <c r="E10" s="17" t="s">
        <v>194</v>
      </c>
      <c r="F10" s="17"/>
      <c r="G10" s="26">
        <v>46160</v>
      </c>
    </row>
    <row r="11" spans="1:7" x14ac:dyDescent="0.45">
      <c r="A11" s="17">
        <f t="shared" si="0"/>
        <v>7</v>
      </c>
      <c r="B11" s="18" t="s">
        <v>241</v>
      </c>
      <c r="C11" s="17">
        <v>5</v>
      </c>
      <c r="D11" s="17" t="s">
        <v>149</v>
      </c>
      <c r="E11" s="17" t="s">
        <v>194</v>
      </c>
      <c r="F11" s="17"/>
      <c r="G11" s="26">
        <v>46160</v>
      </c>
    </row>
    <row r="12" spans="1:7" x14ac:dyDescent="0.45">
      <c r="A12" s="17">
        <f t="shared" si="0"/>
        <v>8</v>
      </c>
      <c r="B12" s="18" t="s">
        <v>238</v>
      </c>
      <c r="C12" s="17">
        <v>2</v>
      </c>
      <c r="D12" s="17" t="s">
        <v>149</v>
      </c>
      <c r="E12" s="17" t="s">
        <v>194</v>
      </c>
      <c r="F12" s="17" t="s">
        <v>212</v>
      </c>
      <c r="G12" s="26">
        <v>46162</v>
      </c>
    </row>
    <row r="13" spans="1:7" x14ac:dyDescent="0.45">
      <c r="A13" s="17">
        <f t="shared" si="0"/>
        <v>9</v>
      </c>
      <c r="B13" s="18" t="s">
        <v>239</v>
      </c>
      <c r="C13" s="17">
        <v>2</v>
      </c>
      <c r="D13" s="17" t="s">
        <v>149</v>
      </c>
      <c r="E13" s="17" t="s">
        <v>194</v>
      </c>
      <c r="F13" s="17"/>
      <c r="G13" s="26">
        <v>46164</v>
      </c>
    </row>
    <row r="14" spans="1:7" x14ac:dyDescent="0.45">
      <c r="A14" s="17">
        <f t="shared" si="0"/>
        <v>10</v>
      </c>
      <c r="B14" s="18" t="s">
        <v>197</v>
      </c>
      <c r="C14" s="17">
        <v>3</v>
      </c>
      <c r="D14" s="17" t="s">
        <v>195</v>
      </c>
      <c r="E14" s="17" t="s">
        <v>194</v>
      </c>
      <c r="F14" s="17"/>
      <c r="G14" s="26">
        <v>46104</v>
      </c>
    </row>
    <row r="15" spans="1:7" x14ac:dyDescent="0.45">
      <c r="A15" s="17">
        <f t="shared" si="0"/>
        <v>11</v>
      </c>
      <c r="B15" s="18" t="s">
        <v>235</v>
      </c>
      <c r="C15" s="17">
        <v>3</v>
      </c>
      <c r="D15" s="17" t="s">
        <v>195</v>
      </c>
      <c r="E15" s="17" t="s">
        <v>194</v>
      </c>
      <c r="F15" s="17"/>
      <c r="G15" s="26">
        <v>46153</v>
      </c>
    </row>
    <row r="16" spans="1:7" x14ac:dyDescent="0.45">
      <c r="A16" s="17">
        <f t="shared" si="0"/>
        <v>12</v>
      </c>
      <c r="B16" s="18" t="s">
        <v>202</v>
      </c>
      <c r="C16" s="17">
        <v>1</v>
      </c>
      <c r="D16" s="17" t="s">
        <v>160</v>
      </c>
      <c r="E16" s="17" t="s">
        <v>149</v>
      </c>
      <c r="F16" s="17"/>
      <c r="G16" s="26">
        <v>46100</v>
      </c>
    </row>
    <row r="17" spans="1:7" x14ac:dyDescent="0.45">
      <c r="A17" s="17">
        <f t="shared" si="0"/>
        <v>13</v>
      </c>
      <c r="B17" s="18" t="s">
        <v>203</v>
      </c>
      <c r="C17" s="17">
        <v>1</v>
      </c>
      <c r="D17" s="17" t="s">
        <v>160</v>
      </c>
      <c r="E17" s="17" t="s">
        <v>149</v>
      </c>
      <c r="F17" s="17"/>
      <c r="G17" s="26">
        <v>46101</v>
      </c>
    </row>
    <row r="18" spans="1:7" x14ac:dyDescent="0.45">
      <c r="A18" s="17">
        <f t="shared" si="0"/>
        <v>14</v>
      </c>
      <c r="B18" s="18" t="s">
        <v>180</v>
      </c>
      <c r="C18" s="17">
        <v>1</v>
      </c>
      <c r="D18" s="17" t="s">
        <v>149</v>
      </c>
      <c r="E18" s="17" t="s">
        <v>195</v>
      </c>
      <c r="F18" s="17" t="s">
        <v>158</v>
      </c>
      <c r="G18" s="26">
        <v>46080</v>
      </c>
    </row>
    <row r="19" spans="1:7" x14ac:dyDescent="0.45">
      <c r="A19" s="17">
        <f t="shared" si="0"/>
        <v>15</v>
      </c>
      <c r="B19" s="18" t="s">
        <v>192</v>
      </c>
      <c r="C19" s="17">
        <v>2</v>
      </c>
      <c r="D19" s="17" t="s">
        <v>149</v>
      </c>
      <c r="E19" s="17" t="s">
        <v>195</v>
      </c>
      <c r="F19" s="17"/>
      <c r="G19" s="26">
        <v>46083</v>
      </c>
    </row>
    <row r="20" spans="1:7" x14ac:dyDescent="0.45">
      <c r="A20" s="17">
        <f t="shared" si="0"/>
        <v>16</v>
      </c>
      <c r="B20" s="18" t="s">
        <v>171</v>
      </c>
      <c r="C20" s="17">
        <v>1</v>
      </c>
      <c r="D20" s="17" t="s">
        <v>149</v>
      </c>
      <c r="E20" s="17" t="s">
        <v>157</v>
      </c>
      <c r="F20" s="17"/>
      <c r="G20" s="26">
        <v>46083</v>
      </c>
    </row>
    <row r="21" spans="1:7" x14ac:dyDescent="0.45">
      <c r="A21" s="17">
        <f t="shared" si="0"/>
        <v>17</v>
      </c>
      <c r="B21" s="18" t="s">
        <v>124</v>
      </c>
      <c r="C21" s="17">
        <v>1</v>
      </c>
      <c r="D21" s="17" t="s">
        <v>149</v>
      </c>
      <c r="E21" s="17" t="s">
        <v>157</v>
      </c>
      <c r="F21" s="17" t="s">
        <v>158</v>
      </c>
      <c r="G21" s="26">
        <v>46083</v>
      </c>
    </row>
    <row r="22" spans="1:7" x14ac:dyDescent="0.45">
      <c r="A22" s="17">
        <f t="shared" si="0"/>
        <v>18</v>
      </c>
      <c r="B22" s="18" t="s">
        <v>126</v>
      </c>
      <c r="C22" s="17">
        <v>1</v>
      </c>
      <c r="D22" s="17" t="s">
        <v>149</v>
      </c>
      <c r="E22" s="17" t="s">
        <v>195</v>
      </c>
      <c r="F22" s="17"/>
      <c r="G22" s="26">
        <v>46083</v>
      </c>
    </row>
    <row r="23" spans="1:7" x14ac:dyDescent="0.45">
      <c r="A23" s="17">
        <f t="shared" si="0"/>
        <v>19</v>
      </c>
      <c r="B23" s="18" t="s">
        <v>167</v>
      </c>
      <c r="C23" s="17">
        <v>1</v>
      </c>
      <c r="D23" s="17" t="s">
        <v>149</v>
      </c>
      <c r="E23" s="17" t="s">
        <v>157</v>
      </c>
      <c r="F23" s="17"/>
      <c r="G23" s="26">
        <v>46097</v>
      </c>
    </row>
    <row r="24" spans="1:7" x14ac:dyDescent="0.45">
      <c r="A24" s="17">
        <f t="shared" si="0"/>
        <v>20</v>
      </c>
      <c r="B24" s="18" t="s">
        <v>168</v>
      </c>
      <c r="C24" s="17">
        <v>1</v>
      </c>
      <c r="D24" s="17" t="s">
        <v>149</v>
      </c>
      <c r="E24" s="17" t="s">
        <v>157</v>
      </c>
      <c r="F24" s="17"/>
      <c r="G24" s="26">
        <v>46097</v>
      </c>
    </row>
    <row r="25" spans="1:7" x14ac:dyDescent="0.45">
      <c r="A25" s="17">
        <f t="shared" si="0"/>
        <v>21</v>
      </c>
      <c r="B25" s="18" t="s">
        <v>205</v>
      </c>
      <c r="C25" s="17">
        <v>1</v>
      </c>
      <c r="D25" s="17" t="s">
        <v>149</v>
      </c>
      <c r="E25" s="17" t="s">
        <v>195</v>
      </c>
      <c r="F25" s="17"/>
      <c r="G25" s="26">
        <v>46111</v>
      </c>
    </row>
    <row r="26" spans="1:7" x14ac:dyDescent="0.45">
      <c r="A26" s="17">
        <f t="shared" si="0"/>
        <v>22</v>
      </c>
      <c r="B26" s="18" t="s">
        <v>224</v>
      </c>
      <c r="C26" s="17">
        <v>1</v>
      </c>
      <c r="D26" s="17" t="s">
        <v>194</v>
      </c>
      <c r="E26" s="17" t="s">
        <v>195</v>
      </c>
      <c r="F26" s="17"/>
      <c r="G26" s="26">
        <v>46122</v>
      </c>
    </row>
    <row r="27" spans="1:7" x14ac:dyDescent="0.45">
      <c r="A27" s="17">
        <f t="shared" si="0"/>
        <v>23</v>
      </c>
      <c r="B27" s="18" t="s">
        <v>237</v>
      </c>
      <c r="C27" s="17">
        <v>1</v>
      </c>
      <c r="D27" s="17" t="s">
        <v>194</v>
      </c>
      <c r="E27" s="17" t="s">
        <v>195</v>
      </c>
      <c r="F27" s="17"/>
      <c r="G27" s="26">
        <v>46129</v>
      </c>
    </row>
    <row r="28" spans="1:7" x14ac:dyDescent="0.45">
      <c r="A28" s="17">
        <f t="shared" si="0"/>
        <v>24</v>
      </c>
      <c r="B28" s="18" t="s">
        <v>138</v>
      </c>
      <c r="C28" s="17">
        <v>3</v>
      </c>
      <c r="D28" s="17" t="s">
        <v>157</v>
      </c>
      <c r="E28" s="17" t="s">
        <v>157</v>
      </c>
      <c r="F28" s="17"/>
      <c r="G28" s="26">
        <v>46077</v>
      </c>
    </row>
    <row r="29" spans="1:7" x14ac:dyDescent="0.45">
      <c r="A29" s="17">
        <f t="shared" si="0"/>
        <v>25</v>
      </c>
      <c r="B29" s="32" t="s">
        <v>234</v>
      </c>
      <c r="C29" s="31">
        <v>1</v>
      </c>
      <c r="D29" s="17" t="s">
        <v>195</v>
      </c>
      <c r="E29" s="17" t="s">
        <v>195</v>
      </c>
      <c r="F29" s="31"/>
      <c r="G29" s="26">
        <v>46111</v>
      </c>
    </row>
    <row r="30" spans="1:7" x14ac:dyDescent="0.45">
      <c r="A30" s="17">
        <f t="shared" si="0"/>
        <v>26</v>
      </c>
      <c r="B30" s="32" t="s">
        <v>226</v>
      </c>
      <c r="C30" s="31">
        <v>2</v>
      </c>
      <c r="D30" s="31" t="s">
        <v>157</v>
      </c>
      <c r="E30" s="31" t="s">
        <v>157</v>
      </c>
      <c r="F30" s="31" t="s">
        <v>212</v>
      </c>
      <c r="G30" s="33">
        <v>46128</v>
      </c>
    </row>
    <row r="31" spans="1:7" x14ac:dyDescent="0.45">
      <c r="A31" s="17">
        <f t="shared" si="0"/>
        <v>27</v>
      </c>
      <c r="B31" s="18" t="s">
        <v>182</v>
      </c>
      <c r="C31" s="17">
        <v>1</v>
      </c>
      <c r="D31" s="17" t="s">
        <v>149</v>
      </c>
      <c r="E31" s="17" t="s">
        <v>160</v>
      </c>
      <c r="F31" s="17"/>
      <c r="G31" s="26">
        <v>46078</v>
      </c>
    </row>
    <row r="32" spans="1:7" x14ac:dyDescent="0.45">
      <c r="A32" s="17">
        <f t="shared" si="0"/>
        <v>28</v>
      </c>
      <c r="B32" s="18" t="s">
        <v>187</v>
      </c>
      <c r="C32" s="17">
        <v>3</v>
      </c>
      <c r="D32" s="17" t="s">
        <v>149</v>
      </c>
      <c r="E32" s="17" t="s">
        <v>160</v>
      </c>
      <c r="F32" s="17" t="s">
        <v>158</v>
      </c>
      <c r="G32" s="26">
        <v>46090</v>
      </c>
    </row>
    <row r="33" spans="1:7" x14ac:dyDescent="0.45">
      <c r="A33" s="17">
        <f t="shared" si="0"/>
        <v>29</v>
      </c>
      <c r="B33" s="18" t="s">
        <v>179</v>
      </c>
      <c r="C33" s="17">
        <v>2</v>
      </c>
      <c r="D33" s="17" t="s">
        <v>149</v>
      </c>
      <c r="E33" s="17" t="s">
        <v>160</v>
      </c>
      <c r="F33" s="17" t="s">
        <v>158</v>
      </c>
      <c r="G33" s="26">
        <v>46097</v>
      </c>
    </row>
    <row r="34" spans="1:7" x14ac:dyDescent="0.45">
      <c r="A34" s="17">
        <f t="shared" si="0"/>
        <v>30</v>
      </c>
      <c r="B34" s="18" t="s">
        <v>186</v>
      </c>
      <c r="C34" s="17">
        <v>0.5</v>
      </c>
      <c r="D34" s="17" t="s">
        <v>160</v>
      </c>
      <c r="E34" s="17" t="s">
        <v>160</v>
      </c>
      <c r="F34" s="17"/>
      <c r="G34" s="26">
        <v>46077</v>
      </c>
    </row>
    <row r="35" spans="1:7" x14ac:dyDescent="0.45">
      <c r="A35" s="17">
        <f t="shared" si="0"/>
        <v>31</v>
      </c>
      <c r="B35" s="18" t="s">
        <v>184</v>
      </c>
      <c r="C35" s="17">
        <v>0.5</v>
      </c>
      <c r="D35" s="17" t="s">
        <v>160</v>
      </c>
      <c r="E35" s="17" t="s">
        <v>160</v>
      </c>
      <c r="F35" s="17"/>
      <c r="G35" s="26">
        <v>46078</v>
      </c>
    </row>
    <row r="36" spans="1:7" x14ac:dyDescent="0.45">
      <c r="A36" s="17">
        <f t="shared" si="0"/>
        <v>32</v>
      </c>
      <c r="B36" s="18" t="s">
        <v>242</v>
      </c>
      <c r="C36" s="17">
        <v>1</v>
      </c>
      <c r="D36" s="31" t="s">
        <v>157</v>
      </c>
      <c r="E36" s="31" t="s">
        <v>157</v>
      </c>
      <c r="F36" s="17"/>
      <c r="G36" s="26">
        <v>46163</v>
      </c>
    </row>
    <row r="37" spans="1:7" x14ac:dyDescent="0.45">
      <c r="A37" s="17">
        <f t="shared" si="0"/>
        <v>33</v>
      </c>
      <c r="B37" s="18"/>
      <c r="C37" s="17"/>
      <c r="D37" s="17"/>
      <c r="E37" s="17"/>
      <c r="F37" s="17"/>
      <c r="G37" s="26"/>
    </row>
    <row r="38" spans="1:7" x14ac:dyDescent="0.45">
      <c r="A38" s="17">
        <f t="shared" si="0"/>
        <v>34</v>
      </c>
      <c r="B38" s="18"/>
      <c r="C38" s="17"/>
      <c r="D38" s="17"/>
      <c r="E38" s="17"/>
      <c r="F38" s="17"/>
      <c r="G38" s="26"/>
    </row>
    <row r="39" spans="1:7" x14ac:dyDescent="0.45">
      <c r="A39" s="17">
        <f t="shared" si="0"/>
        <v>35</v>
      </c>
      <c r="B39" s="18"/>
      <c r="C39" s="17"/>
      <c r="D39" s="17"/>
      <c r="E39" s="17"/>
      <c r="F39" s="17"/>
      <c r="G39" s="26"/>
    </row>
    <row r="40" spans="1:7" x14ac:dyDescent="0.45">
      <c r="A40" s="17">
        <f t="shared" si="0"/>
        <v>36</v>
      </c>
      <c r="B40" s="18"/>
      <c r="C40" s="17"/>
      <c r="D40" s="17"/>
      <c r="E40" s="17"/>
      <c r="F40" s="17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56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23</v>
      </c>
      <c r="E53" s="17">
        <f t="shared" si="1"/>
        <v>6</v>
      </c>
      <c r="F53" s="17">
        <f t="shared" si="1"/>
        <v>2</v>
      </c>
      <c r="G53" s="17">
        <f>SUM(D53:F53)</f>
        <v>31</v>
      </c>
    </row>
    <row r="54" spans="2:7" x14ac:dyDescent="0.45">
      <c r="B54" s="21" t="s">
        <v>190</v>
      </c>
      <c r="C54" s="25" t="s">
        <v>157</v>
      </c>
      <c r="D54" s="17">
        <f t="shared" si="1"/>
        <v>11</v>
      </c>
      <c r="E54" s="17">
        <f t="shared" si="1"/>
        <v>7</v>
      </c>
      <c r="F54" s="17">
        <f t="shared" si="1"/>
        <v>0</v>
      </c>
      <c r="G54" s="17">
        <f>SUM(D54:F54)</f>
        <v>18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40</v>
      </c>
      <c r="E56" s="25">
        <f>SUM(E53:E55)</f>
        <v>13</v>
      </c>
      <c r="F56" s="25">
        <f>SUM(F53:F55)</f>
        <v>3</v>
      </c>
      <c r="G56" s="25">
        <f>SUM(G53:G55)</f>
        <v>56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5:E5 D39:E41 D7:E36">
    <cfRule type="containsText" dxfId="83" priority="16" operator="containsText" text="低">
      <formula>NOT(ISERROR(SEARCH("低",D5)))</formula>
    </cfRule>
    <cfRule type="containsText" dxfId="82" priority="17" operator="containsText" text="中">
      <formula>NOT(ISERROR(SEARCH("中",D5)))</formula>
    </cfRule>
    <cfRule type="containsText" dxfId="81" priority="18" operator="containsText" text="高">
      <formula>NOT(ISERROR(SEARCH("高",D5)))</formula>
    </cfRule>
  </conditionalFormatting>
  <conditionalFormatting sqref="D42:E42">
    <cfRule type="containsText" dxfId="80" priority="13" operator="containsText" text="低">
      <formula>NOT(ISERROR(SEARCH("低",D42)))</formula>
    </cfRule>
    <cfRule type="containsText" dxfId="79" priority="14" operator="containsText" text="中">
      <formula>NOT(ISERROR(SEARCH("中",D42)))</formula>
    </cfRule>
    <cfRule type="containsText" dxfId="78" priority="15" operator="containsText" text="高">
      <formula>NOT(ISERROR(SEARCH("高",D42)))</formula>
    </cfRule>
  </conditionalFormatting>
  <conditionalFormatting sqref="D43:E43">
    <cfRule type="containsText" dxfId="77" priority="10" operator="containsText" text="低">
      <formula>NOT(ISERROR(SEARCH("低",D43)))</formula>
    </cfRule>
    <cfRule type="containsText" dxfId="76" priority="11" operator="containsText" text="中">
      <formula>NOT(ISERROR(SEARCH("中",D43)))</formula>
    </cfRule>
    <cfRule type="containsText" dxfId="75" priority="12" operator="containsText" text="高">
      <formula>NOT(ISERROR(SEARCH("高",D43)))</formula>
    </cfRule>
  </conditionalFormatting>
  <conditionalFormatting sqref="D6:E6">
    <cfRule type="containsText" dxfId="74" priority="7" operator="containsText" text="低">
      <formula>NOT(ISERROR(SEARCH("低",D6)))</formula>
    </cfRule>
    <cfRule type="containsText" dxfId="73" priority="8" operator="containsText" text="中">
      <formula>NOT(ISERROR(SEARCH("中",D6)))</formula>
    </cfRule>
    <cfRule type="containsText" dxfId="72" priority="9" operator="containsText" text="高">
      <formula>NOT(ISERROR(SEARCH("高",D6)))</formula>
    </cfRule>
  </conditionalFormatting>
  <conditionalFormatting sqref="D37:E37">
    <cfRule type="containsText" dxfId="71" priority="4" operator="containsText" text="低">
      <formula>NOT(ISERROR(SEARCH("低",D37)))</formula>
    </cfRule>
    <cfRule type="containsText" dxfId="70" priority="5" operator="containsText" text="中">
      <formula>NOT(ISERROR(SEARCH("中",D37)))</formula>
    </cfRule>
    <cfRule type="containsText" dxfId="69" priority="6" operator="containsText" text="高">
      <formula>NOT(ISERROR(SEARCH("高",D37)))</formula>
    </cfRule>
  </conditionalFormatting>
  <conditionalFormatting sqref="D38:E38">
    <cfRule type="containsText" dxfId="68" priority="1" operator="containsText" text="低">
      <formula>NOT(ISERROR(SEARCH("低",D38)))</formula>
    </cfRule>
    <cfRule type="containsText" dxfId="67" priority="2" operator="containsText" text="中">
      <formula>NOT(ISERROR(SEARCH("中",D38)))</formula>
    </cfRule>
    <cfRule type="containsText" dxfId="66" priority="3" operator="containsText" text="高">
      <formula>NOT(ISERROR(SEARCH("高",D38)))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6C61-1F95-4FA3-BECC-B3EB6C05E803}">
  <sheetPr>
    <pageSetUpPr fitToPage="1"/>
  </sheetPr>
  <dimension ref="A1:G56"/>
  <sheetViews>
    <sheetView zoomScaleNormal="100" workbookViewId="0">
      <selection activeCell="B12" sqref="B12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  <c r="G1" s="42" t="str" cm="1">
        <f t="array" aca="1" ref="G1" ca="1">RIGHT(CELL("filename",A1),LEN(CELL("filename",A1))-FIND("]",CELL("filename",A1)))</f>
        <v>26-05-11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8" si="0">ROW(A5)-4</f>
        <v>1</v>
      </c>
      <c r="B5" s="18" t="s">
        <v>228</v>
      </c>
      <c r="C5" s="17">
        <v>5</v>
      </c>
      <c r="D5" s="17" t="s">
        <v>194</v>
      </c>
      <c r="E5" s="17" t="s">
        <v>194</v>
      </c>
      <c r="F5" s="17"/>
      <c r="G5" s="26">
        <v>46150</v>
      </c>
    </row>
    <row r="6" spans="1:7" x14ac:dyDescent="0.45">
      <c r="A6" s="17">
        <f t="shared" si="0"/>
        <v>2</v>
      </c>
      <c r="B6" s="18" t="s">
        <v>231</v>
      </c>
      <c r="C6" s="17">
        <v>3</v>
      </c>
      <c r="D6" s="17" t="s">
        <v>194</v>
      </c>
      <c r="E6" s="17" t="s">
        <v>194</v>
      </c>
      <c r="F6" s="17"/>
      <c r="G6" s="26">
        <v>46143</v>
      </c>
    </row>
    <row r="7" spans="1:7" x14ac:dyDescent="0.45">
      <c r="A7" s="17">
        <f t="shared" si="0"/>
        <v>3</v>
      </c>
      <c r="B7" s="18" t="s">
        <v>227</v>
      </c>
      <c r="C7" s="17">
        <v>5</v>
      </c>
      <c r="D7" s="17" t="s">
        <v>149</v>
      </c>
      <c r="E7" s="17" t="s">
        <v>194</v>
      </c>
      <c r="F7" s="17" t="s">
        <v>212</v>
      </c>
      <c r="G7" s="26">
        <v>46143</v>
      </c>
    </row>
    <row r="8" spans="1:7" x14ac:dyDescent="0.45">
      <c r="A8" s="17">
        <f t="shared" si="0"/>
        <v>4</v>
      </c>
      <c r="B8" s="18" t="s">
        <v>229</v>
      </c>
      <c r="C8" s="17">
        <v>2</v>
      </c>
      <c r="D8" s="17" t="s">
        <v>194</v>
      </c>
      <c r="E8" s="17" t="s">
        <v>194</v>
      </c>
      <c r="F8" s="17" t="s">
        <v>212</v>
      </c>
      <c r="G8" s="26">
        <v>46122</v>
      </c>
    </row>
    <row r="9" spans="1:7" x14ac:dyDescent="0.45">
      <c r="A9" s="17">
        <f t="shared" si="0"/>
        <v>5</v>
      </c>
      <c r="B9" s="18" t="s">
        <v>215</v>
      </c>
      <c r="C9" s="17">
        <v>2</v>
      </c>
      <c r="D9" s="17" t="s">
        <v>194</v>
      </c>
      <c r="E9" s="17" t="s">
        <v>194</v>
      </c>
      <c r="F9" s="17" t="s">
        <v>212</v>
      </c>
      <c r="G9" s="26">
        <v>46115</v>
      </c>
    </row>
    <row r="10" spans="1:7" x14ac:dyDescent="0.45">
      <c r="A10" s="17">
        <f t="shared" si="0"/>
        <v>6</v>
      </c>
      <c r="B10" s="18" t="s">
        <v>235</v>
      </c>
      <c r="C10" s="17">
        <v>3</v>
      </c>
      <c r="D10" s="17" t="s">
        <v>195</v>
      </c>
      <c r="E10" s="17" t="s">
        <v>194</v>
      </c>
      <c r="F10" s="17"/>
      <c r="G10" s="26">
        <v>46153</v>
      </c>
    </row>
    <row r="11" spans="1:7" x14ac:dyDescent="0.45">
      <c r="A11" s="17">
        <f t="shared" si="0"/>
        <v>7</v>
      </c>
      <c r="B11" s="18" t="s">
        <v>197</v>
      </c>
      <c r="C11" s="17">
        <v>3</v>
      </c>
      <c r="D11" s="17" t="s">
        <v>195</v>
      </c>
      <c r="E11" s="17" t="s">
        <v>194</v>
      </c>
      <c r="F11" s="17"/>
      <c r="G11" s="26">
        <v>46104</v>
      </c>
    </row>
    <row r="12" spans="1:7" x14ac:dyDescent="0.45">
      <c r="A12" s="17">
        <f t="shared" si="0"/>
        <v>8</v>
      </c>
      <c r="B12" s="18" t="s">
        <v>236</v>
      </c>
      <c r="C12" s="17">
        <v>3</v>
      </c>
      <c r="D12" s="17" t="s">
        <v>160</v>
      </c>
      <c r="E12" s="17" t="s">
        <v>149</v>
      </c>
      <c r="F12" s="17"/>
      <c r="G12" s="26">
        <v>46143</v>
      </c>
    </row>
    <row r="13" spans="1:7" x14ac:dyDescent="0.45">
      <c r="A13" s="17">
        <f t="shared" si="0"/>
        <v>9</v>
      </c>
      <c r="B13" s="18" t="s">
        <v>203</v>
      </c>
      <c r="C13" s="17">
        <v>1</v>
      </c>
      <c r="D13" s="17" t="s">
        <v>160</v>
      </c>
      <c r="E13" s="17" t="s">
        <v>149</v>
      </c>
      <c r="F13" s="17"/>
      <c r="G13" s="26">
        <v>46101</v>
      </c>
    </row>
    <row r="14" spans="1:7" x14ac:dyDescent="0.45">
      <c r="A14" s="17">
        <f t="shared" si="0"/>
        <v>10</v>
      </c>
      <c r="B14" s="18" t="s">
        <v>202</v>
      </c>
      <c r="C14" s="17">
        <v>1</v>
      </c>
      <c r="D14" s="17" t="s">
        <v>160</v>
      </c>
      <c r="E14" s="17" t="s">
        <v>149</v>
      </c>
      <c r="F14" s="17"/>
      <c r="G14" s="26">
        <v>46100</v>
      </c>
    </row>
    <row r="15" spans="1:7" x14ac:dyDescent="0.45">
      <c r="A15" s="17">
        <f t="shared" si="0"/>
        <v>11</v>
      </c>
      <c r="B15" s="18" t="s">
        <v>230</v>
      </c>
      <c r="C15" s="17">
        <v>1</v>
      </c>
      <c r="D15" s="17" t="s">
        <v>194</v>
      </c>
      <c r="E15" s="17" t="s">
        <v>195</v>
      </c>
      <c r="F15" s="17" t="s">
        <v>212</v>
      </c>
      <c r="G15" s="26">
        <v>46143</v>
      </c>
    </row>
    <row r="16" spans="1:7" x14ac:dyDescent="0.45">
      <c r="A16" s="17">
        <f t="shared" si="0"/>
        <v>12</v>
      </c>
      <c r="B16" s="18" t="s">
        <v>237</v>
      </c>
      <c r="C16" s="17">
        <v>1</v>
      </c>
      <c r="D16" s="17" t="s">
        <v>194</v>
      </c>
      <c r="E16" s="17" t="s">
        <v>195</v>
      </c>
      <c r="F16" s="17"/>
      <c r="G16" s="26">
        <v>46129</v>
      </c>
    </row>
    <row r="17" spans="1:7" x14ac:dyDescent="0.45">
      <c r="A17" s="17">
        <f t="shared" si="0"/>
        <v>13</v>
      </c>
      <c r="B17" s="18" t="s">
        <v>232</v>
      </c>
      <c r="C17" s="17">
        <v>2</v>
      </c>
      <c r="D17" s="17" t="s">
        <v>194</v>
      </c>
      <c r="E17" s="17" t="s">
        <v>195</v>
      </c>
      <c r="F17" s="17"/>
      <c r="G17" s="26">
        <v>46129</v>
      </c>
    </row>
    <row r="18" spans="1:7" x14ac:dyDescent="0.45">
      <c r="A18" s="17">
        <f t="shared" si="0"/>
        <v>14</v>
      </c>
      <c r="B18" s="18" t="s">
        <v>233</v>
      </c>
      <c r="C18" s="17">
        <v>2</v>
      </c>
      <c r="D18" s="17" t="s">
        <v>194</v>
      </c>
      <c r="E18" s="17" t="s">
        <v>195</v>
      </c>
      <c r="F18" s="17"/>
      <c r="G18" s="26">
        <v>46129</v>
      </c>
    </row>
    <row r="19" spans="1:7" x14ac:dyDescent="0.45">
      <c r="A19" s="17">
        <f t="shared" si="0"/>
        <v>15</v>
      </c>
      <c r="B19" s="18" t="s">
        <v>224</v>
      </c>
      <c r="C19" s="17">
        <v>1</v>
      </c>
      <c r="D19" s="17" t="s">
        <v>194</v>
      </c>
      <c r="E19" s="17" t="s">
        <v>195</v>
      </c>
      <c r="F19" s="17"/>
      <c r="G19" s="26">
        <v>46122</v>
      </c>
    </row>
    <row r="20" spans="1:7" x14ac:dyDescent="0.45">
      <c r="A20" s="17">
        <f t="shared" si="0"/>
        <v>16</v>
      </c>
      <c r="B20" s="18" t="s">
        <v>205</v>
      </c>
      <c r="C20" s="17">
        <v>1</v>
      </c>
      <c r="D20" s="17" t="s">
        <v>149</v>
      </c>
      <c r="E20" s="17" t="s">
        <v>195</v>
      </c>
      <c r="F20" s="17"/>
      <c r="G20" s="26">
        <v>46111</v>
      </c>
    </row>
    <row r="21" spans="1:7" x14ac:dyDescent="0.45">
      <c r="A21" s="17">
        <f t="shared" si="0"/>
        <v>17</v>
      </c>
      <c r="B21" s="18" t="s">
        <v>167</v>
      </c>
      <c r="C21" s="17">
        <v>1</v>
      </c>
      <c r="D21" s="17" t="s">
        <v>149</v>
      </c>
      <c r="E21" s="17" t="s">
        <v>157</v>
      </c>
      <c r="F21" s="17"/>
      <c r="G21" s="26">
        <v>46097</v>
      </c>
    </row>
    <row r="22" spans="1:7" x14ac:dyDescent="0.45">
      <c r="A22" s="17">
        <f t="shared" si="0"/>
        <v>18</v>
      </c>
      <c r="B22" s="18" t="s">
        <v>168</v>
      </c>
      <c r="C22" s="17">
        <v>1</v>
      </c>
      <c r="D22" s="17" t="s">
        <v>149</v>
      </c>
      <c r="E22" s="17" t="s">
        <v>157</v>
      </c>
      <c r="F22" s="17"/>
      <c r="G22" s="26">
        <v>46097</v>
      </c>
    </row>
    <row r="23" spans="1:7" x14ac:dyDescent="0.45">
      <c r="A23" s="17">
        <f t="shared" si="0"/>
        <v>19</v>
      </c>
      <c r="B23" s="18" t="s">
        <v>192</v>
      </c>
      <c r="C23" s="17">
        <v>2</v>
      </c>
      <c r="D23" s="17" t="s">
        <v>149</v>
      </c>
      <c r="E23" s="17" t="s">
        <v>195</v>
      </c>
      <c r="F23" s="17"/>
      <c r="G23" s="26">
        <v>46083</v>
      </c>
    </row>
    <row r="24" spans="1:7" x14ac:dyDescent="0.45">
      <c r="A24" s="17">
        <f t="shared" si="0"/>
        <v>20</v>
      </c>
      <c r="B24" s="18" t="s">
        <v>171</v>
      </c>
      <c r="C24" s="17">
        <v>1</v>
      </c>
      <c r="D24" s="17" t="s">
        <v>149</v>
      </c>
      <c r="E24" s="17" t="s">
        <v>157</v>
      </c>
      <c r="F24" s="17"/>
      <c r="G24" s="26">
        <v>46083</v>
      </c>
    </row>
    <row r="25" spans="1:7" x14ac:dyDescent="0.45">
      <c r="A25" s="17">
        <f t="shared" si="0"/>
        <v>21</v>
      </c>
      <c r="B25" s="18" t="s">
        <v>124</v>
      </c>
      <c r="C25" s="17">
        <v>1</v>
      </c>
      <c r="D25" s="17" t="s">
        <v>149</v>
      </c>
      <c r="E25" s="17" t="s">
        <v>157</v>
      </c>
      <c r="F25" s="17" t="s">
        <v>158</v>
      </c>
      <c r="G25" s="26">
        <v>46083</v>
      </c>
    </row>
    <row r="26" spans="1:7" x14ac:dyDescent="0.45">
      <c r="A26" s="17">
        <f t="shared" si="0"/>
        <v>22</v>
      </c>
      <c r="B26" s="18" t="s">
        <v>126</v>
      </c>
      <c r="C26" s="17">
        <v>1</v>
      </c>
      <c r="D26" s="17" t="s">
        <v>149</v>
      </c>
      <c r="E26" s="17" t="s">
        <v>195</v>
      </c>
      <c r="F26" s="17"/>
      <c r="G26" s="26">
        <v>46083</v>
      </c>
    </row>
    <row r="27" spans="1:7" x14ac:dyDescent="0.45">
      <c r="A27" s="17">
        <f t="shared" si="0"/>
        <v>23</v>
      </c>
      <c r="B27" s="18" t="s">
        <v>180</v>
      </c>
      <c r="C27" s="17">
        <v>1</v>
      </c>
      <c r="D27" s="17" t="s">
        <v>149</v>
      </c>
      <c r="E27" s="17" t="s">
        <v>195</v>
      </c>
      <c r="F27" s="17" t="s">
        <v>158</v>
      </c>
      <c r="G27" s="26">
        <v>46080</v>
      </c>
    </row>
    <row r="28" spans="1:7" x14ac:dyDescent="0.45">
      <c r="A28" s="17">
        <f t="shared" si="0"/>
        <v>24</v>
      </c>
      <c r="B28" s="32" t="s">
        <v>226</v>
      </c>
      <c r="C28" s="31">
        <v>2</v>
      </c>
      <c r="D28" s="31" t="s">
        <v>157</v>
      </c>
      <c r="E28" s="31" t="s">
        <v>157</v>
      </c>
      <c r="F28" s="31" t="s">
        <v>212</v>
      </c>
      <c r="G28" s="33">
        <v>46128</v>
      </c>
    </row>
    <row r="29" spans="1:7" x14ac:dyDescent="0.45">
      <c r="A29" s="17">
        <f t="shared" si="0"/>
        <v>25</v>
      </c>
      <c r="B29" s="32" t="s">
        <v>234</v>
      </c>
      <c r="C29" s="31">
        <v>1</v>
      </c>
      <c r="D29" s="17" t="s">
        <v>195</v>
      </c>
      <c r="E29" s="17" t="s">
        <v>195</v>
      </c>
      <c r="F29" s="31"/>
      <c r="G29" s="26">
        <v>46111</v>
      </c>
    </row>
    <row r="30" spans="1:7" x14ac:dyDescent="0.45">
      <c r="A30" s="17">
        <f t="shared" si="0"/>
        <v>26</v>
      </c>
      <c r="B30" s="18" t="s">
        <v>138</v>
      </c>
      <c r="C30" s="17">
        <v>3</v>
      </c>
      <c r="D30" s="17" t="s">
        <v>157</v>
      </c>
      <c r="E30" s="17" t="s">
        <v>157</v>
      </c>
      <c r="F30" s="17"/>
      <c r="G30" s="26">
        <v>46077</v>
      </c>
    </row>
    <row r="31" spans="1:7" x14ac:dyDescent="0.45">
      <c r="A31" s="17">
        <f t="shared" si="0"/>
        <v>27</v>
      </c>
      <c r="B31" s="18" t="s">
        <v>179</v>
      </c>
      <c r="C31" s="17">
        <v>2</v>
      </c>
      <c r="D31" s="17" t="s">
        <v>149</v>
      </c>
      <c r="E31" s="17" t="s">
        <v>160</v>
      </c>
      <c r="F31" s="17" t="s">
        <v>158</v>
      </c>
      <c r="G31" s="26">
        <v>46097</v>
      </c>
    </row>
    <row r="32" spans="1:7" x14ac:dyDescent="0.45">
      <c r="A32" s="17">
        <f t="shared" si="0"/>
        <v>28</v>
      </c>
      <c r="B32" s="18" t="s">
        <v>187</v>
      </c>
      <c r="C32" s="17">
        <v>3</v>
      </c>
      <c r="D32" s="17" t="s">
        <v>149</v>
      </c>
      <c r="E32" s="17" t="s">
        <v>160</v>
      </c>
      <c r="F32" s="17" t="s">
        <v>158</v>
      </c>
      <c r="G32" s="26">
        <v>46090</v>
      </c>
    </row>
    <row r="33" spans="1:7" x14ac:dyDescent="0.45">
      <c r="A33" s="17">
        <f t="shared" si="0"/>
        <v>29</v>
      </c>
      <c r="B33" s="18" t="s">
        <v>182</v>
      </c>
      <c r="C33" s="17">
        <v>1</v>
      </c>
      <c r="D33" s="17" t="s">
        <v>149</v>
      </c>
      <c r="E33" s="17" t="s">
        <v>160</v>
      </c>
      <c r="F33" s="17"/>
      <c r="G33" s="26">
        <v>46078</v>
      </c>
    </row>
    <row r="34" spans="1:7" x14ac:dyDescent="0.45">
      <c r="A34" s="17">
        <f t="shared" si="0"/>
        <v>30</v>
      </c>
      <c r="B34" s="18" t="s">
        <v>184</v>
      </c>
      <c r="C34" s="17">
        <v>0.5</v>
      </c>
      <c r="D34" s="17" t="s">
        <v>160</v>
      </c>
      <c r="E34" s="17" t="s">
        <v>160</v>
      </c>
      <c r="F34" s="17"/>
      <c r="G34" s="26">
        <v>46078</v>
      </c>
    </row>
    <row r="35" spans="1:7" x14ac:dyDescent="0.45">
      <c r="A35" s="17">
        <f t="shared" si="0"/>
        <v>31</v>
      </c>
      <c r="B35" s="18" t="s">
        <v>186</v>
      </c>
      <c r="C35" s="17">
        <v>0.5</v>
      </c>
      <c r="D35" s="17" t="s">
        <v>160</v>
      </c>
      <c r="E35" s="17" t="s">
        <v>160</v>
      </c>
      <c r="F35" s="17"/>
      <c r="G35" s="26">
        <v>46077</v>
      </c>
    </row>
    <row r="36" spans="1:7" x14ac:dyDescent="0.45">
      <c r="A36" s="17">
        <f t="shared" si="0"/>
        <v>32</v>
      </c>
      <c r="B36" s="18"/>
      <c r="C36" s="17"/>
      <c r="D36" s="17"/>
      <c r="E36" s="17"/>
      <c r="F36" s="17"/>
      <c r="G36" s="26"/>
    </row>
    <row r="37" spans="1:7" x14ac:dyDescent="0.45">
      <c r="A37" s="17">
        <f t="shared" si="0"/>
        <v>33</v>
      </c>
      <c r="B37" s="24"/>
      <c r="C37" s="17"/>
      <c r="D37" s="17"/>
      <c r="E37" s="17"/>
      <c r="F37" s="17"/>
      <c r="G37" s="26"/>
    </row>
    <row r="38" spans="1:7" x14ac:dyDescent="0.45">
      <c r="A38" s="17">
        <f t="shared" si="0"/>
        <v>34</v>
      </c>
      <c r="B38" s="18"/>
      <c r="C38" s="17"/>
      <c r="D38" s="17"/>
      <c r="E38" s="17"/>
      <c r="F38" s="17"/>
      <c r="G38" s="26"/>
    </row>
    <row r="39" spans="1:7" x14ac:dyDescent="0.45">
      <c r="A39" s="17">
        <f t="shared" si="0"/>
        <v>35</v>
      </c>
      <c r="B39" s="18"/>
      <c r="C39" s="17"/>
      <c r="D39" s="17"/>
      <c r="E39" s="17"/>
      <c r="F39" s="17"/>
      <c r="G39" s="26"/>
    </row>
    <row r="40" spans="1:7" x14ac:dyDescent="0.45">
      <c r="A40" s="17">
        <f t="shared" si="0"/>
        <v>36</v>
      </c>
      <c r="B40" s="18"/>
      <c r="C40" s="17"/>
      <c r="D40" s="17"/>
      <c r="E40" s="17"/>
      <c r="F40" s="17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x14ac:dyDescent="0.45">
      <c r="A47" s="17">
        <f t="shared" si="0"/>
        <v>43</v>
      </c>
      <c r="B47" s="18"/>
      <c r="C47" s="17"/>
      <c r="D47" s="17"/>
      <c r="E47" s="17"/>
      <c r="F47" s="17"/>
      <c r="G47" s="26"/>
    </row>
    <row r="48" spans="1:7" ht="18.600000000000001" thickBot="1" x14ac:dyDescent="0.5">
      <c r="A48" s="19">
        <f t="shared" si="0"/>
        <v>44</v>
      </c>
      <c r="B48" s="20"/>
      <c r="C48" s="19"/>
      <c r="D48" s="19"/>
      <c r="E48" s="19"/>
      <c r="F48" s="19"/>
      <c r="G48" s="27"/>
    </row>
    <row r="49" spans="2:7" ht="18.600000000000001" thickTop="1" x14ac:dyDescent="0.45">
      <c r="B49" s="21" t="s">
        <v>188</v>
      </c>
      <c r="C49" s="22">
        <f>SUM(C5:C48)</f>
        <v>57</v>
      </c>
    </row>
    <row r="50" spans="2:7" x14ac:dyDescent="0.45">
      <c r="B50" s="23"/>
    </row>
    <row r="51" spans="2:7" x14ac:dyDescent="0.45">
      <c r="E51" s="22" t="s">
        <v>145</v>
      </c>
    </row>
    <row r="52" spans="2:7" x14ac:dyDescent="0.45">
      <c r="C52" s="24"/>
      <c r="D52" s="25" t="s">
        <v>149</v>
      </c>
      <c r="E52" s="25" t="s">
        <v>157</v>
      </c>
      <c r="F52" s="25" t="s">
        <v>160</v>
      </c>
      <c r="G52" s="25" t="s">
        <v>188</v>
      </c>
    </row>
    <row r="53" spans="2:7" x14ac:dyDescent="0.45">
      <c r="B53" s="21" t="s">
        <v>189</v>
      </c>
      <c r="C53" s="25" t="s">
        <v>149</v>
      </c>
      <c r="D53" s="17">
        <f t="shared" ref="D53:F55" si="1">SUMIFS($C$5:$C$48,$D$5:$D$48,D$52,$E$5:$E$48,$C53)</f>
        <v>17</v>
      </c>
      <c r="E53" s="17">
        <f t="shared" si="1"/>
        <v>6</v>
      </c>
      <c r="F53" s="17">
        <f t="shared" si="1"/>
        <v>5</v>
      </c>
      <c r="G53" s="17">
        <f>SUM(D53:F53)</f>
        <v>28</v>
      </c>
    </row>
    <row r="54" spans="2:7" x14ac:dyDescent="0.45">
      <c r="B54" s="21" t="s">
        <v>190</v>
      </c>
      <c r="C54" s="25" t="s">
        <v>157</v>
      </c>
      <c r="D54" s="17">
        <f t="shared" si="1"/>
        <v>16</v>
      </c>
      <c r="E54" s="17">
        <f t="shared" si="1"/>
        <v>6</v>
      </c>
      <c r="F54" s="17">
        <f t="shared" si="1"/>
        <v>0</v>
      </c>
      <c r="G54" s="17">
        <f>SUM(D54:F54)</f>
        <v>22</v>
      </c>
    </row>
    <row r="55" spans="2:7" x14ac:dyDescent="0.45">
      <c r="B55" s="21" t="s">
        <v>191</v>
      </c>
      <c r="C55" s="25" t="s">
        <v>160</v>
      </c>
      <c r="D55" s="17">
        <f t="shared" si="1"/>
        <v>6</v>
      </c>
      <c r="E55" s="17">
        <f t="shared" si="1"/>
        <v>0</v>
      </c>
      <c r="F55" s="17">
        <f t="shared" si="1"/>
        <v>1</v>
      </c>
      <c r="G55" s="17">
        <f>SUM(D55:F55)</f>
        <v>7</v>
      </c>
    </row>
    <row r="56" spans="2:7" x14ac:dyDescent="0.45">
      <c r="C56" s="25" t="s">
        <v>188</v>
      </c>
      <c r="D56" s="25">
        <f>SUM(D53:D55)</f>
        <v>39</v>
      </c>
      <c r="E56" s="25">
        <f>SUM(E53:E55)</f>
        <v>12</v>
      </c>
      <c r="F56" s="25">
        <f>SUM(F53:F55)</f>
        <v>6</v>
      </c>
      <c r="G56" s="25">
        <f>SUM(G53:G55)</f>
        <v>57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5:E41">
    <cfRule type="containsText" dxfId="65" priority="7" operator="containsText" text="低">
      <formula>NOT(ISERROR(SEARCH("低",D5)))</formula>
    </cfRule>
    <cfRule type="containsText" dxfId="64" priority="8" operator="containsText" text="中">
      <formula>NOT(ISERROR(SEARCH("中",D5)))</formula>
    </cfRule>
    <cfRule type="containsText" dxfId="63" priority="9" operator="containsText" text="高">
      <formula>NOT(ISERROR(SEARCH("高",D5)))</formula>
    </cfRule>
  </conditionalFormatting>
  <conditionalFormatting sqref="D42:E42">
    <cfRule type="containsText" dxfId="62" priority="4" operator="containsText" text="低">
      <formula>NOT(ISERROR(SEARCH("低",D42)))</formula>
    </cfRule>
    <cfRule type="containsText" dxfId="61" priority="5" operator="containsText" text="中">
      <formula>NOT(ISERROR(SEARCH("中",D42)))</formula>
    </cfRule>
    <cfRule type="containsText" dxfId="60" priority="6" operator="containsText" text="高">
      <formula>NOT(ISERROR(SEARCH("高",D42)))</formula>
    </cfRule>
  </conditionalFormatting>
  <conditionalFormatting sqref="D43:E43">
    <cfRule type="containsText" dxfId="59" priority="1" operator="containsText" text="低">
      <formula>NOT(ISERROR(SEARCH("低",D43)))</formula>
    </cfRule>
    <cfRule type="containsText" dxfId="58" priority="2" operator="containsText" text="中">
      <formula>NOT(ISERROR(SEARCH("中",D43)))</formula>
    </cfRule>
    <cfRule type="containsText" dxfId="57" priority="3" operator="containsText" text="高">
      <formula>NOT(ISERROR(SEARCH("高",D43)))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8060-D3BB-44F0-9D90-906B6E27B408}">
  <sheetPr>
    <pageSetUpPr fitToPage="1"/>
  </sheetPr>
  <dimension ref="A1:G56"/>
  <sheetViews>
    <sheetView topLeftCell="A19" zoomScaleNormal="100" workbookViewId="0">
      <selection activeCell="B43" sqref="B43:G44"/>
    </sheetView>
  </sheetViews>
  <sheetFormatPr defaultColWidth="7.796875" defaultRowHeight="18" x14ac:dyDescent="0.45"/>
  <cols>
    <col min="1" max="1" width="4.5" style="29" customWidth="1"/>
    <col min="2" max="2" width="49.5" style="29" customWidth="1"/>
    <col min="3" max="3" width="9" style="29" bestFit="1" customWidth="1"/>
    <col min="4" max="6" width="10.19921875" style="29" customWidth="1"/>
    <col min="7" max="7" width="12.59765625" style="29" customWidth="1"/>
    <col min="8" max="16384" width="7.796875" style="29"/>
  </cols>
  <sheetData>
    <row r="1" spans="1:7" x14ac:dyDescent="0.45">
      <c r="A1" s="28" t="s">
        <v>143</v>
      </c>
    </row>
    <row r="2" spans="1:7" x14ac:dyDescent="0.45">
      <c r="A2" s="28" t="s">
        <v>144</v>
      </c>
    </row>
    <row r="4" spans="1:7" x14ac:dyDescent="0.45">
      <c r="A4" s="30" t="s">
        <v>88</v>
      </c>
      <c r="B4" s="30" t="s">
        <v>4</v>
      </c>
      <c r="C4" s="30" t="s">
        <v>5</v>
      </c>
      <c r="D4" s="30" t="s">
        <v>145</v>
      </c>
      <c r="E4" s="30" t="s">
        <v>146</v>
      </c>
      <c r="F4" s="30" t="s">
        <v>147</v>
      </c>
      <c r="G4" s="30" t="s">
        <v>89</v>
      </c>
    </row>
    <row r="5" spans="1:7" x14ac:dyDescent="0.45">
      <c r="A5" s="31">
        <f t="shared" ref="A5:A22" si="0">ROW(A5)-4</f>
        <v>1</v>
      </c>
      <c r="B5" s="32" t="s">
        <v>219</v>
      </c>
      <c r="C5" s="31">
        <v>4</v>
      </c>
      <c r="D5" s="31" t="s">
        <v>194</v>
      </c>
      <c r="E5" s="31" t="s">
        <v>194</v>
      </c>
      <c r="F5" s="31"/>
      <c r="G5" s="33">
        <v>46122</v>
      </c>
    </row>
    <row r="6" spans="1:7" x14ac:dyDescent="0.45">
      <c r="A6" s="31">
        <f t="shared" si="0"/>
        <v>2</v>
      </c>
      <c r="B6" s="32" t="s">
        <v>220</v>
      </c>
      <c r="C6" s="31">
        <v>3</v>
      </c>
      <c r="D6" s="31" t="s">
        <v>194</v>
      </c>
      <c r="E6" s="31" t="s">
        <v>194</v>
      </c>
      <c r="F6" s="31"/>
      <c r="G6" s="33">
        <v>46122</v>
      </c>
    </row>
    <row r="7" spans="1:7" x14ac:dyDescent="0.45">
      <c r="A7" s="31">
        <f t="shared" si="0"/>
        <v>3</v>
      </c>
      <c r="B7" s="32" t="s">
        <v>221</v>
      </c>
      <c r="C7" s="31">
        <v>1</v>
      </c>
      <c r="D7" s="31" t="s">
        <v>194</v>
      </c>
      <c r="E7" s="31" t="s">
        <v>194</v>
      </c>
      <c r="F7" s="31"/>
      <c r="G7" s="33">
        <v>46122</v>
      </c>
    </row>
    <row r="8" spans="1:7" x14ac:dyDescent="0.45">
      <c r="A8" s="31">
        <f t="shared" si="0"/>
        <v>4</v>
      </c>
      <c r="B8" s="32" t="s">
        <v>225</v>
      </c>
      <c r="C8" s="31">
        <v>2</v>
      </c>
      <c r="D8" s="31" t="s">
        <v>194</v>
      </c>
      <c r="E8" s="31" t="s">
        <v>194</v>
      </c>
      <c r="F8" s="31" t="s">
        <v>212</v>
      </c>
      <c r="G8" s="33">
        <v>46122</v>
      </c>
    </row>
    <row r="9" spans="1:7" x14ac:dyDescent="0.45">
      <c r="A9" s="31">
        <f t="shared" si="0"/>
        <v>5</v>
      </c>
      <c r="B9" s="32" t="s">
        <v>223</v>
      </c>
      <c r="C9" s="31">
        <v>1</v>
      </c>
      <c r="D9" s="31" t="s">
        <v>194</v>
      </c>
      <c r="E9" s="31" t="s">
        <v>194</v>
      </c>
      <c r="F9" s="31"/>
      <c r="G9" s="33">
        <v>46122</v>
      </c>
    </row>
    <row r="10" spans="1:7" x14ac:dyDescent="0.45">
      <c r="A10" s="31">
        <f t="shared" si="0"/>
        <v>6</v>
      </c>
      <c r="B10" s="32" t="s">
        <v>215</v>
      </c>
      <c r="C10" s="31">
        <v>2</v>
      </c>
      <c r="D10" s="31" t="s">
        <v>194</v>
      </c>
      <c r="E10" s="31" t="s">
        <v>194</v>
      </c>
      <c r="F10" s="31" t="s">
        <v>212</v>
      </c>
      <c r="G10" s="33">
        <v>46115</v>
      </c>
    </row>
    <row r="11" spans="1:7" x14ac:dyDescent="0.45">
      <c r="A11" s="31">
        <f t="shared" si="0"/>
        <v>7</v>
      </c>
      <c r="B11" s="32" t="s">
        <v>210</v>
      </c>
      <c r="C11" s="31">
        <v>1</v>
      </c>
      <c r="D11" s="31" t="s">
        <v>149</v>
      </c>
      <c r="E11" s="31" t="s">
        <v>194</v>
      </c>
      <c r="F11" s="31" t="s">
        <v>212</v>
      </c>
      <c r="G11" s="33">
        <v>46111</v>
      </c>
    </row>
    <row r="12" spans="1:7" x14ac:dyDescent="0.45">
      <c r="A12" s="31">
        <f t="shared" si="0"/>
        <v>8</v>
      </c>
      <c r="B12" s="32" t="s">
        <v>213</v>
      </c>
      <c r="C12" s="31">
        <v>1</v>
      </c>
      <c r="D12" s="31" t="s">
        <v>149</v>
      </c>
      <c r="E12" s="31" t="s">
        <v>194</v>
      </c>
      <c r="F12" s="31" t="s">
        <v>212</v>
      </c>
      <c r="G12" s="33">
        <v>46111</v>
      </c>
    </row>
    <row r="13" spans="1:7" x14ac:dyDescent="0.45">
      <c r="A13" s="31">
        <f t="shared" si="0"/>
        <v>9</v>
      </c>
      <c r="B13" s="32" t="s">
        <v>170</v>
      </c>
      <c r="C13" s="31">
        <v>1</v>
      </c>
      <c r="D13" s="31" t="s">
        <v>149</v>
      </c>
      <c r="E13" s="31" t="s">
        <v>194</v>
      </c>
      <c r="F13" s="31"/>
      <c r="G13" s="33">
        <v>46083</v>
      </c>
    </row>
    <row r="14" spans="1:7" x14ac:dyDescent="0.45">
      <c r="A14" s="31">
        <f t="shared" si="0"/>
        <v>10</v>
      </c>
      <c r="B14" s="32" t="s">
        <v>218</v>
      </c>
      <c r="C14" s="31">
        <v>2</v>
      </c>
      <c r="D14" s="31" t="s">
        <v>195</v>
      </c>
      <c r="E14" s="31" t="s">
        <v>194</v>
      </c>
      <c r="F14" s="31"/>
      <c r="G14" s="33">
        <v>46122</v>
      </c>
    </row>
    <row r="15" spans="1:7" x14ac:dyDescent="0.45">
      <c r="A15" s="31">
        <f t="shared" si="0"/>
        <v>11</v>
      </c>
      <c r="B15" s="32" t="s">
        <v>197</v>
      </c>
      <c r="C15" s="31">
        <v>3</v>
      </c>
      <c r="D15" s="31" t="s">
        <v>195</v>
      </c>
      <c r="E15" s="31" t="s">
        <v>194</v>
      </c>
      <c r="F15" s="31"/>
      <c r="G15" s="33">
        <v>46104</v>
      </c>
    </row>
    <row r="16" spans="1:7" x14ac:dyDescent="0.45">
      <c r="A16" s="31">
        <f t="shared" si="0"/>
        <v>12</v>
      </c>
      <c r="B16" s="32" t="s">
        <v>131</v>
      </c>
      <c r="C16" s="31">
        <v>1</v>
      </c>
      <c r="D16" s="31" t="s">
        <v>195</v>
      </c>
      <c r="E16" s="31" t="s">
        <v>194</v>
      </c>
      <c r="F16" s="31"/>
      <c r="G16" s="33">
        <v>46083</v>
      </c>
    </row>
    <row r="17" spans="1:7" x14ac:dyDescent="0.45">
      <c r="A17" s="31">
        <f t="shared" si="0"/>
        <v>13</v>
      </c>
      <c r="B17" s="32" t="s">
        <v>202</v>
      </c>
      <c r="C17" s="31">
        <v>1</v>
      </c>
      <c r="D17" s="31" t="s">
        <v>160</v>
      </c>
      <c r="E17" s="31" t="s">
        <v>149</v>
      </c>
      <c r="F17" s="31"/>
      <c r="G17" s="33">
        <v>46100</v>
      </c>
    </row>
    <row r="18" spans="1:7" x14ac:dyDescent="0.45">
      <c r="A18" s="31">
        <f t="shared" si="0"/>
        <v>14</v>
      </c>
      <c r="B18" s="32" t="s">
        <v>198</v>
      </c>
      <c r="C18" s="31">
        <v>1</v>
      </c>
      <c r="D18" s="31" t="s">
        <v>160</v>
      </c>
      <c r="E18" s="31" t="s">
        <v>149</v>
      </c>
      <c r="F18" s="31"/>
      <c r="G18" s="33">
        <v>46094</v>
      </c>
    </row>
    <row r="19" spans="1:7" x14ac:dyDescent="0.45">
      <c r="A19" s="31">
        <f t="shared" si="0"/>
        <v>15</v>
      </c>
      <c r="B19" s="32" t="s">
        <v>176</v>
      </c>
      <c r="C19" s="31">
        <v>1</v>
      </c>
      <c r="D19" s="31" t="s">
        <v>160</v>
      </c>
      <c r="E19" s="31" t="s">
        <v>149</v>
      </c>
      <c r="F19" s="31"/>
      <c r="G19" s="33">
        <v>46056</v>
      </c>
    </row>
    <row r="20" spans="1:7" x14ac:dyDescent="0.45">
      <c r="A20" s="31">
        <f t="shared" si="0"/>
        <v>16</v>
      </c>
      <c r="B20" s="32" t="s">
        <v>203</v>
      </c>
      <c r="C20" s="31">
        <v>1</v>
      </c>
      <c r="D20" s="31" t="s">
        <v>160</v>
      </c>
      <c r="E20" s="31" t="s">
        <v>149</v>
      </c>
      <c r="F20" s="31"/>
      <c r="G20" s="33"/>
    </row>
    <row r="21" spans="1:7" x14ac:dyDescent="0.45">
      <c r="A21" s="31">
        <f t="shared" si="0"/>
        <v>17</v>
      </c>
      <c r="B21" s="32" t="s">
        <v>222</v>
      </c>
      <c r="C21" s="31">
        <v>5</v>
      </c>
      <c r="D21" s="31" t="s">
        <v>194</v>
      </c>
      <c r="E21" s="31" t="s">
        <v>195</v>
      </c>
      <c r="F21" s="31" t="s">
        <v>212</v>
      </c>
      <c r="G21" s="33">
        <v>46122</v>
      </c>
    </row>
    <row r="22" spans="1:7" x14ac:dyDescent="0.45">
      <c r="A22" s="31">
        <f t="shared" si="0"/>
        <v>18</v>
      </c>
      <c r="B22" s="32" t="s">
        <v>224</v>
      </c>
      <c r="C22" s="31">
        <v>1</v>
      </c>
      <c r="D22" s="31" t="s">
        <v>194</v>
      </c>
      <c r="E22" s="31" t="s">
        <v>195</v>
      </c>
      <c r="F22" s="31"/>
      <c r="G22" s="33">
        <v>46122</v>
      </c>
    </row>
    <row r="23" spans="1:7" x14ac:dyDescent="0.45">
      <c r="A23" s="31">
        <f t="shared" ref="A23:A48" si="1">ROW(A23)-4</f>
        <v>19</v>
      </c>
      <c r="B23" s="34" t="s">
        <v>217</v>
      </c>
      <c r="C23" s="31">
        <v>4</v>
      </c>
      <c r="D23" s="31" t="s">
        <v>149</v>
      </c>
      <c r="E23" s="31" t="s">
        <v>195</v>
      </c>
      <c r="F23" s="31"/>
      <c r="G23" s="33">
        <v>46115</v>
      </c>
    </row>
    <row r="24" spans="1:7" x14ac:dyDescent="0.45">
      <c r="A24" s="31">
        <f t="shared" si="1"/>
        <v>20</v>
      </c>
      <c r="B24" s="32" t="s">
        <v>205</v>
      </c>
      <c r="C24" s="31">
        <v>1</v>
      </c>
      <c r="D24" s="31" t="s">
        <v>149</v>
      </c>
      <c r="E24" s="31" t="s">
        <v>195</v>
      </c>
      <c r="F24" s="31"/>
      <c r="G24" s="33">
        <v>46111</v>
      </c>
    </row>
    <row r="25" spans="1:7" x14ac:dyDescent="0.45">
      <c r="A25" s="31">
        <f t="shared" si="1"/>
        <v>21</v>
      </c>
      <c r="B25" s="32" t="s">
        <v>167</v>
      </c>
      <c r="C25" s="31">
        <v>1</v>
      </c>
      <c r="D25" s="31" t="s">
        <v>149</v>
      </c>
      <c r="E25" s="31" t="s">
        <v>157</v>
      </c>
      <c r="F25" s="31"/>
      <c r="G25" s="33">
        <v>46097</v>
      </c>
    </row>
    <row r="26" spans="1:7" x14ac:dyDescent="0.45">
      <c r="A26" s="31">
        <f t="shared" si="1"/>
        <v>22</v>
      </c>
      <c r="B26" s="32" t="s">
        <v>168</v>
      </c>
      <c r="C26" s="31">
        <v>1</v>
      </c>
      <c r="D26" s="31" t="s">
        <v>149</v>
      </c>
      <c r="E26" s="31" t="s">
        <v>157</v>
      </c>
      <c r="F26" s="31"/>
      <c r="G26" s="33">
        <v>46097</v>
      </c>
    </row>
    <row r="27" spans="1:7" x14ac:dyDescent="0.45">
      <c r="A27" s="31">
        <f t="shared" si="1"/>
        <v>23</v>
      </c>
      <c r="B27" s="32" t="s">
        <v>201</v>
      </c>
      <c r="C27" s="31">
        <v>3</v>
      </c>
      <c r="D27" s="31" t="s">
        <v>149</v>
      </c>
      <c r="E27" s="31" t="s">
        <v>195</v>
      </c>
      <c r="F27" s="31"/>
      <c r="G27" s="33">
        <v>46094</v>
      </c>
    </row>
    <row r="28" spans="1:7" x14ac:dyDescent="0.45">
      <c r="A28" s="31">
        <f t="shared" si="1"/>
        <v>24</v>
      </c>
      <c r="B28" s="32" t="s">
        <v>192</v>
      </c>
      <c r="C28" s="31">
        <v>2</v>
      </c>
      <c r="D28" s="31" t="s">
        <v>149</v>
      </c>
      <c r="E28" s="31" t="s">
        <v>195</v>
      </c>
      <c r="F28" s="31"/>
      <c r="G28" s="33">
        <v>46083</v>
      </c>
    </row>
    <row r="29" spans="1:7" x14ac:dyDescent="0.45">
      <c r="A29" s="31">
        <f t="shared" si="1"/>
        <v>25</v>
      </c>
      <c r="B29" s="32" t="s">
        <v>171</v>
      </c>
      <c r="C29" s="31">
        <v>3</v>
      </c>
      <c r="D29" s="31" t="s">
        <v>149</v>
      </c>
      <c r="E29" s="31" t="s">
        <v>157</v>
      </c>
      <c r="F29" s="31"/>
      <c r="G29" s="33">
        <v>46083</v>
      </c>
    </row>
    <row r="30" spans="1:7" x14ac:dyDescent="0.45">
      <c r="A30" s="31">
        <f t="shared" si="1"/>
        <v>26</v>
      </c>
      <c r="B30" s="32" t="s">
        <v>124</v>
      </c>
      <c r="C30" s="31">
        <v>1</v>
      </c>
      <c r="D30" s="31" t="s">
        <v>149</v>
      </c>
      <c r="E30" s="31" t="s">
        <v>157</v>
      </c>
      <c r="F30" s="31" t="s">
        <v>158</v>
      </c>
      <c r="G30" s="33">
        <v>46083</v>
      </c>
    </row>
    <row r="31" spans="1:7" x14ac:dyDescent="0.45">
      <c r="A31" s="31">
        <f t="shared" si="1"/>
        <v>27</v>
      </c>
      <c r="B31" s="32" t="s">
        <v>126</v>
      </c>
      <c r="C31" s="31">
        <v>1</v>
      </c>
      <c r="D31" s="31" t="s">
        <v>149</v>
      </c>
      <c r="E31" s="31" t="s">
        <v>195</v>
      </c>
      <c r="F31" s="31"/>
      <c r="G31" s="33">
        <v>46083</v>
      </c>
    </row>
    <row r="32" spans="1:7" x14ac:dyDescent="0.45">
      <c r="A32" s="31">
        <f t="shared" si="1"/>
        <v>28</v>
      </c>
      <c r="B32" s="32" t="s">
        <v>180</v>
      </c>
      <c r="C32" s="31">
        <v>1</v>
      </c>
      <c r="D32" s="31" t="s">
        <v>149</v>
      </c>
      <c r="E32" s="31" t="s">
        <v>195</v>
      </c>
      <c r="F32" s="31" t="s">
        <v>158</v>
      </c>
      <c r="G32" s="33">
        <v>46080</v>
      </c>
    </row>
    <row r="33" spans="1:7" x14ac:dyDescent="0.45">
      <c r="A33" s="31">
        <f t="shared" si="1"/>
        <v>29</v>
      </c>
      <c r="B33" s="32" t="s">
        <v>175</v>
      </c>
      <c r="C33" s="31">
        <v>1</v>
      </c>
      <c r="D33" s="31" t="s">
        <v>157</v>
      </c>
      <c r="E33" s="31" t="s">
        <v>157</v>
      </c>
      <c r="F33" s="31"/>
      <c r="G33" s="33">
        <v>46097</v>
      </c>
    </row>
    <row r="34" spans="1:7" x14ac:dyDescent="0.45">
      <c r="A34" s="31">
        <f t="shared" si="1"/>
        <v>30</v>
      </c>
      <c r="B34" s="32" t="s">
        <v>138</v>
      </c>
      <c r="C34" s="31">
        <v>3</v>
      </c>
      <c r="D34" s="31" t="s">
        <v>157</v>
      </c>
      <c r="E34" s="31" t="s">
        <v>157</v>
      </c>
      <c r="F34" s="31"/>
      <c r="G34" s="33">
        <v>46077</v>
      </c>
    </row>
    <row r="35" spans="1:7" x14ac:dyDescent="0.45">
      <c r="A35" s="31">
        <f t="shared" si="1"/>
        <v>31</v>
      </c>
      <c r="B35" s="32" t="s">
        <v>178</v>
      </c>
      <c r="C35" s="31">
        <v>1</v>
      </c>
      <c r="D35" s="31" t="s">
        <v>160</v>
      </c>
      <c r="E35" s="31" t="s">
        <v>157</v>
      </c>
      <c r="F35" s="31"/>
      <c r="G35" s="33">
        <v>46097</v>
      </c>
    </row>
    <row r="36" spans="1:7" x14ac:dyDescent="0.45">
      <c r="A36" s="31">
        <f t="shared" si="1"/>
        <v>32</v>
      </c>
      <c r="B36" s="32" t="s">
        <v>179</v>
      </c>
      <c r="C36" s="31">
        <v>2</v>
      </c>
      <c r="D36" s="31" t="s">
        <v>149</v>
      </c>
      <c r="E36" s="31" t="s">
        <v>160</v>
      </c>
      <c r="F36" s="31" t="s">
        <v>158</v>
      </c>
      <c r="G36" s="33">
        <v>46097</v>
      </c>
    </row>
    <row r="37" spans="1:7" x14ac:dyDescent="0.45">
      <c r="A37" s="31">
        <f t="shared" si="1"/>
        <v>33</v>
      </c>
      <c r="B37" s="32" t="s">
        <v>187</v>
      </c>
      <c r="C37" s="31">
        <v>3</v>
      </c>
      <c r="D37" s="31" t="s">
        <v>149</v>
      </c>
      <c r="E37" s="31" t="s">
        <v>160</v>
      </c>
      <c r="F37" s="31" t="s">
        <v>158</v>
      </c>
      <c r="G37" s="33">
        <v>46090</v>
      </c>
    </row>
    <row r="38" spans="1:7" x14ac:dyDescent="0.45">
      <c r="A38" s="31">
        <f t="shared" si="1"/>
        <v>34</v>
      </c>
      <c r="B38" s="32" t="s">
        <v>182</v>
      </c>
      <c r="C38" s="31">
        <v>1</v>
      </c>
      <c r="D38" s="31" t="s">
        <v>149</v>
      </c>
      <c r="E38" s="31" t="s">
        <v>160</v>
      </c>
      <c r="F38" s="31"/>
      <c r="G38" s="33">
        <v>46078</v>
      </c>
    </row>
    <row r="39" spans="1:7" x14ac:dyDescent="0.45">
      <c r="A39" s="31">
        <f t="shared" si="1"/>
        <v>35</v>
      </c>
      <c r="B39" s="32" t="s">
        <v>185</v>
      </c>
      <c r="C39" s="31">
        <v>1</v>
      </c>
      <c r="D39" s="31" t="s">
        <v>160</v>
      </c>
      <c r="E39" s="31" t="s">
        <v>160</v>
      </c>
      <c r="F39" s="31"/>
      <c r="G39" s="33">
        <v>46097</v>
      </c>
    </row>
    <row r="40" spans="1:7" x14ac:dyDescent="0.45">
      <c r="A40" s="31">
        <f t="shared" si="1"/>
        <v>36</v>
      </c>
      <c r="B40" s="32" t="s">
        <v>184</v>
      </c>
      <c r="C40" s="31">
        <v>0.5</v>
      </c>
      <c r="D40" s="31" t="s">
        <v>160</v>
      </c>
      <c r="E40" s="31" t="s">
        <v>160</v>
      </c>
      <c r="F40" s="31"/>
      <c r="G40" s="33">
        <v>46078</v>
      </c>
    </row>
    <row r="41" spans="1:7" x14ac:dyDescent="0.45">
      <c r="A41" s="31">
        <f t="shared" si="1"/>
        <v>37</v>
      </c>
      <c r="B41" s="32" t="s">
        <v>186</v>
      </c>
      <c r="C41" s="31">
        <v>0.5</v>
      </c>
      <c r="D41" s="31" t="s">
        <v>160</v>
      </c>
      <c r="E41" s="31" t="s">
        <v>160</v>
      </c>
      <c r="F41" s="31"/>
      <c r="G41" s="33">
        <v>46077</v>
      </c>
    </row>
    <row r="42" spans="1:7" x14ac:dyDescent="0.45">
      <c r="A42" s="31">
        <f t="shared" si="1"/>
        <v>38</v>
      </c>
      <c r="B42" s="32"/>
      <c r="C42" s="31"/>
      <c r="D42" s="31"/>
      <c r="E42" s="31"/>
      <c r="F42" s="31"/>
      <c r="G42" s="33"/>
    </row>
    <row r="43" spans="1:7" x14ac:dyDescent="0.45">
      <c r="A43" s="31">
        <f t="shared" si="1"/>
        <v>39</v>
      </c>
      <c r="B43" s="32"/>
      <c r="C43" s="31"/>
      <c r="D43" s="31"/>
      <c r="E43" s="31"/>
      <c r="F43" s="31"/>
      <c r="G43" s="33"/>
    </row>
    <row r="44" spans="1:7" x14ac:dyDescent="0.45">
      <c r="A44" s="31">
        <f t="shared" si="1"/>
        <v>40</v>
      </c>
      <c r="B44" s="32"/>
      <c r="C44" s="31"/>
      <c r="D44" s="31"/>
      <c r="E44" s="31"/>
      <c r="F44" s="31"/>
      <c r="G44" s="33"/>
    </row>
    <row r="45" spans="1:7" x14ac:dyDescent="0.45">
      <c r="A45" s="31">
        <f t="shared" si="1"/>
        <v>41</v>
      </c>
      <c r="B45" s="32"/>
      <c r="C45" s="31"/>
      <c r="D45" s="31"/>
      <c r="E45" s="31"/>
      <c r="F45" s="31"/>
      <c r="G45" s="33"/>
    </row>
    <row r="46" spans="1:7" x14ac:dyDescent="0.45">
      <c r="A46" s="31">
        <f t="shared" si="1"/>
        <v>42</v>
      </c>
      <c r="B46" s="32"/>
      <c r="C46" s="31"/>
      <c r="D46" s="31"/>
      <c r="E46" s="31"/>
      <c r="F46" s="31"/>
      <c r="G46" s="33"/>
    </row>
    <row r="47" spans="1:7" x14ac:dyDescent="0.45">
      <c r="A47" s="31">
        <f t="shared" si="1"/>
        <v>43</v>
      </c>
      <c r="B47" s="32"/>
      <c r="C47" s="31"/>
      <c r="D47" s="31"/>
      <c r="E47" s="31"/>
      <c r="F47" s="31"/>
      <c r="G47" s="33"/>
    </row>
    <row r="48" spans="1:7" ht="18.600000000000001" thickBot="1" x14ac:dyDescent="0.5">
      <c r="A48" s="35">
        <f t="shared" si="1"/>
        <v>44</v>
      </c>
      <c r="B48" s="36"/>
      <c r="C48" s="35"/>
      <c r="D48" s="35"/>
      <c r="E48" s="35"/>
      <c r="F48" s="35"/>
      <c r="G48" s="37"/>
    </row>
    <row r="49" spans="2:7" ht="18.600000000000001" thickTop="1" x14ac:dyDescent="0.45">
      <c r="B49" s="38" t="s">
        <v>188</v>
      </c>
      <c r="C49" s="39">
        <f>SUM(C5:C48)</f>
        <v>63</v>
      </c>
    </row>
    <row r="50" spans="2:7" x14ac:dyDescent="0.45">
      <c r="B50" s="40"/>
    </row>
    <row r="51" spans="2:7" x14ac:dyDescent="0.45">
      <c r="E51" s="39" t="s">
        <v>145</v>
      </c>
    </row>
    <row r="52" spans="2:7" x14ac:dyDescent="0.45">
      <c r="C52" s="34"/>
      <c r="D52" s="41" t="s">
        <v>149</v>
      </c>
      <c r="E52" s="41" t="s">
        <v>157</v>
      </c>
      <c r="F52" s="41" t="s">
        <v>160</v>
      </c>
      <c r="G52" s="41" t="s">
        <v>188</v>
      </c>
    </row>
    <row r="53" spans="2:7" x14ac:dyDescent="0.45">
      <c r="B53" s="38" t="s">
        <v>189</v>
      </c>
      <c r="C53" s="41" t="s">
        <v>149</v>
      </c>
      <c r="D53" s="31">
        <f t="shared" ref="D53:F55" si="2">SUMIFS($C$5:$C$48,$D$5:$D$48,D$52,$E$5:$E$48,$C53)</f>
        <v>16</v>
      </c>
      <c r="E53" s="31">
        <f t="shared" si="2"/>
        <v>6</v>
      </c>
      <c r="F53" s="31">
        <f t="shared" si="2"/>
        <v>4</v>
      </c>
      <c r="G53" s="31">
        <f>SUM(D53:F53)</f>
        <v>26</v>
      </c>
    </row>
    <row r="54" spans="2:7" x14ac:dyDescent="0.45">
      <c r="B54" s="38" t="s">
        <v>190</v>
      </c>
      <c r="C54" s="41" t="s">
        <v>157</v>
      </c>
      <c r="D54" s="31">
        <f t="shared" si="2"/>
        <v>24</v>
      </c>
      <c r="E54" s="31">
        <f t="shared" si="2"/>
        <v>4</v>
      </c>
      <c r="F54" s="31">
        <f t="shared" si="2"/>
        <v>1</v>
      </c>
      <c r="G54" s="31">
        <f>SUM(D54:F54)</f>
        <v>29</v>
      </c>
    </row>
    <row r="55" spans="2:7" x14ac:dyDescent="0.45">
      <c r="B55" s="38" t="s">
        <v>191</v>
      </c>
      <c r="C55" s="41" t="s">
        <v>160</v>
      </c>
      <c r="D55" s="31">
        <f t="shared" si="2"/>
        <v>6</v>
      </c>
      <c r="E55" s="31">
        <f t="shared" si="2"/>
        <v>0</v>
      </c>
      <c r="F55" s="31">
        <f t="shared" si="2"/>
        <v>2</v>
      </c>
      <c r="G55" s="31">
        <f>SUM(D55:F55)</f>
        <v>8</v>
      </c>
    </row>
    <row r="56" spans="2:7" x14ac:dyDescent="0.45">
      <c r="C56" s="41" t="s">
        <v>188</v>
      </c>
      <c r="D56" s="41">
        <f>SUM(D53:D55)</f>
        <v>46</v>
      </c>
      <c r="E56" s="41">
        <f>SUM(E53:E55)</f>
        <v>10</v>
      </c>
      <c r="F56" s="41">
        <f>SUM(F53:F55)</f>
        <v>7</v>
      </c>
      <c r="G56" s="41">
        <f>SUM(G53:G55)</f>
        <v>63</v>
      </c>
    </row>
  </sheetData>
  <autoFilter ref="A4:G49" xr:uid="{540F0E9F-74CD-4472-8016-39E12128DD81}">
    <sortState xmlns:xlrd2="http://schemas.microsoft.com/office/spreadsheetml/2017/richdata2" ref="A5:G49">
      <sortCondition ref="E4:E49"/>
    </sortState>
  </autoFilter>
  <phoneticPr fontId="1"/>
  <conditionalFormatting sqref="D5:E42">
    <cfRule type="containsText" dxfId="56" priority="7" operator="containsText" text="低">
      <formula>NOT(ISERROR(SEARCH("低",D5)))</formula>
    </cfRule>
    <cfRule type="containsText" dxfId="55" priority="8" operator="containsText" text="中">
      <formula>NOT(ISERROR(SEARCH("中",D5)))</formula>
    </cfRule>
    <cfRule type="containsText" dxfId="54" priority="9" operator="containsText" text="高">
      <formula>NOT(ISERROR(SEARCH("高",D5)))</formula>
    </cfRule>
  </conditionalFormatting>
  <conditionalFormatting sqref="D43:E43">
    <cfRule type="containsText" dxfId="53" priority="4" operator="containsText" text="低">
      <formula>NOT(ISERROR(SEARCH("低",D43)))</formula>
    </cfRule>
    <cfRule type="containsText" dxfId="52" priority="5" operator="containsText" text="中">
      <formula>NOT(ISERROR(SEARCH("中",D43)))</formula>
    </cfRule>
    <cfRule type="containsText" dxfId="51" priority="6" operator="containsText" text="高">
      <formula>NOT(ISERROR(SEARCH("高",D43)))</formula>
    </cfRule>
  </conditionalFormatting>
  <conditionalFormatting sqref="D44:E44">
    <cfRule type="containsText" dxfId="50" priority="1" operator="containsText" text="低">
      <formula>NOT(ISERROR(SEARCH("低",D44)))</formula>
    </cfRule>
    <cfRule type="containsText" dxfId="49" priority="2" operator="containsText" text="中">
      <formula>NOT(ISERROR(SEARCH("中",D44)))</formula>
    </cfRule>
    <cfRule type="containsText" dxfId="48" priority="3" operator="containsText" text="高">
      <formula>NOT(ISERROR(SEARCH("高",D44)))</formula>
    </cfRule>
  </conditionalFormatting>
  <pageMargins left="0.75" right="0.75" top="1" bottom="1" header="0.511811023622047" footer="0.511811023622047"/>
  <pageSetup paperSize="9" scale="66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24CE-9703-48F1-B266-5CF0380B4355}">
  <sheetPr>
    <pageSetUpPr fitToPage="1"/>
  </sheetPr>
  <dimension ref="A1:G55"/>
  <sheetViews>
    <sheetView topLeftCell="A14" zoomScaleNormal="100" workbookViewId="0">
      <selection activeCell="D39" sqref="D39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7" si="0">ROW(A5)-4</f>
        <v>1</v>
      </c>
      <c r="B5" s="18" t="s">
        <v>214</v>
      </c>
      <c r="C5" s="17">
        <v>2</v>
      </c>
      <c r="D5" s="17" t="s">
        <v>149</v>
      </c>
      <c r="E5" s="17" t="s">
        <v>149</v>
      </c>
      <c r="F5" s="17"/>
      <c r="G5" s="26">
        <v>46115</v>
      </c>
    </row>
    <row r="6" spans="1:7" x14ac:dyDescent="0.45">
      <c r="A6" s="17">
        <f t="shared" si="0"/>
        <v>2</v>
      </c>
      <c r="B6" s="18" t="s">
        <v>207</v>
      </c>
      <c r="C6" s="17">
        <v>2.5</v>
      </c>
      <c r="D6" s="17" t="s">
        <v>149</v>
      </c>
      <c r="E6" s="17" t="s">
        <v>149</v>
      </c>
      <c r="F6" s="17"/>
      <c r="G6" s="26">
        <v>46112</v>
      </c>
    </row>
    <row r="7" spans="1:7" x14ac:dyDescent="0.45">
      <c r="A7" s="17">
        <f t="shared" si="0"/>
        <v>3</v>
      </c>
      <c r="B7" s="18" t="s">
        <v>173</v>
      </c>
      <c r="C7" s="17">
        <v>1</v>
      </c>
      <c r="D7" s="17" t="s">
        <v>194</v>
      </c>
      <c r="E7" s="17" t="s">
        <v>194</v>
      </c>
      <c r="F7" s="17"/>
      <c r="G7" s="26">
        <v>46097</v>
      </c>
    </row>
    <row r="8" spans="1:7" x14ac:dyDescent="0.45">
      <c r="A8" s="17">
        <f t="shared" si="0"/>
        <v>4</v>
      </c>
      <c r="B8" s="18" t="s">
        <v>165</v>
      </c>
      <c r="C8" s="17">
        <v>2</v>
      </c>
      <c r="D8" s="17" t="s">
        <v>149</v>
      </c>
      <c r="E8" s="17" t="s">
        <v>194</v>
      </c>
      <c r="F8" s="17"/>
      <c r="G8" s="26">
        <v>46093</v>
      </c>
    </row>
    <row r="9" spans="1:7" x14ac:dyDescent="0.45">
      <c r="A9" s="17">
        <f t="shared" si="0"/>
        <v>5</v>
      </c>
      <c r="B9" s="18" t="s">
        <v>216</v>
      </c>
      <c r="C9" s="17">
        <v>1</v>
      </c>
      <c r="D9" s="17" t="s">
        <v>149</v>
      </c>
      <c r="E9" s="17" t="s">
        <v>194</v>
      </c>
      <c r="F9" s="17"/>
      <c r="G9" s="26">
        <v>46113</v>
      </c>
    </row>
    <row r="10" spans="1:7" x14ac:dyDescent="0.45">
      <c r="A10" s="17">
        <f t="shared" si="0"/>
        <v>6</v>
      </c>
      <c r="B10" s="18" t="s">
        <v>164</v>
      </c>
      <c r="C10" s="17">
        <v>0.5</v>
      </c>
      <c r="D10" s="17" t="s">
        <v>149</v>
      </c>
      <c r="E10" s="17" t="s">
        <v>149</v>
      </c>
      <c r="F10" s="17"/>
      <c r="G10" s="26">
        <v>46094</v>
      </c>
    </row>
    <row r="11" spans="1:7" x14ac:dyDescent="0.45">
      <c r="A11" s="17">
        <f t="shared" si="0"/>
        <v>7</v>
      </c>
      <c r="B11" s="18" t="s">
        <v>210</v>
      </c>
      <c r="C11" s="17">
        <v>1</v>
      </c>
      <c r="D11" s="17" t="s">
        <v>149</v>
      </c>
      <c r="E11" s="17" t="s">
        <v>194</v>
      </c>
      <c r="F11" s="17" t="s">
        <v>212</v>
      </c>
      <c r="G11" s="26">
        <v>46111</v>
      </c>
    </row>
    <row r="12" spans="1:7" x14ac:dyDescent="0.45">
      <c r="A12" s="17">
        <f t="shared" si="0"/>
        <v>8</v>
      </c>
      <c r="B12" s="18" t="s">
        <v>213</v>
      </c>
      <c r="C12" s="17">
        <v>1</v>
      </c>
      <c r="D12" s="17" t="s">
        <v>149</v>
      </c>
      <c r="E12" s="17" t="s">
        <v>194</v>
      </c>
      <c r="F12" s="17" t="s">
        <v>212</v>
      </c>
      <c r="G12" s="26">
        <v>46111</v>
      </c>
    </row>
    <row r="13" spans="1:7" x14ac:dyDescent="0.45">
      <c r="A13" s="17">
        <f t="shared" si="0"/>
        <v>9</v>
      </c>
      <c r="B13" s="18" t="s">
        <v>170</v>
      </c>
      <c r="C13" s="17">
        <v>1</v>
      </c>
      <c r="D13" s="17" t="s">
        <v>149</v>
      </c>
      <c r="E13" s="17" t="s">
        <v>194</v>
      </c>
      <c r="F13" s="17"/>
      <c r="G13" s="26">
        <v>46083</v>
      </c>
    </row>
    <row r="14" spans="1:7" x14ac:dyDescent="0.45">
      <c r="A14" s="17">
        <f t="shared" si="0"/>
        <v>10</v>
      </c>
      <c r="B14" s="18" t="s">
        <v>215</v>
      </c>
      <c r="C14" s="17">
        <v>2</v>
      </c>
      <c r="D14" s="17" t="s">
        <v>194</v>
      </c>
      <c r="E14" s="17" t="s">
        <v>194</v>
      </c>
      <c r="F14" s="17"/>
      <c r="G14" s="26">
        <v>46115</v>
      </c>
    </row>
    <row r="15" spans="1:7" x14ac:dyDescent="0.45">
      <c r="A15" s="17">
        <f t="shared" si="0"/>
        <v>11</v>
      </c>
      <c r="B15" s="18" t="s">
        <v>131</v>
      </c>
      <c r="C15" s="17">
        <v>1</v>
      </c>
      <c r="D15" s="17" t="s">
        <v>195</v>
      </c>
      <c r="E15" s="17" t="s">
        <v>194</v>
      </c>
      <c r="F15" s="17"/>
      <c r="G15" s="26">
        <v>46083</v>
      </c>
    </row>
    <row r="16" spans="1:7" x14ac:dyDescent="0.45">
      <c r="A16" s="17">
        <f t="shared" si="0"/>
        <v>12</v>
      </c>
      <c r="B16" s="18" t="s">
        <v>197</v>
      </c>
      <c r="C16" s="17">
        <v>3</v>
      </c>
      <c r="D16" s="17" t="s">
        <v>195</v>
      </c>
      <c r="E16" s="17" t="s">
        <v>194</v>
      </c>
      <c r="F16" s="17"/>
      <c r="G16" s="26">
        <v>46104</v>
      </c>
    </row>
    <row r="17" spans="1:7" x14ac:dyDescent="0.45">
      <c r="A17" s="17">
        <f t="shared" si="0"/>
        <v>13</v>
      </c>
      <c r="B17" s="18" t="s">
        <v>198</v>
      </c>
      <c r="C17" s="17">
        <v>1</v>
      </c>
      <c r="D17" s="17" t="s">
        <v>160</v>
      </c>
      <c r="E17" s="17" t="s">
        <v>149</v>
      </c>
      <c r="F17" s="17"/>
      <c r="G17" s="26">
        <v>46094</v>
      </c>
    </row>
    <row r="18" spans="1:7" x14ac:dyDescent="0.45">
      <c r="A18" s="17">
        <f t="shared" si="0"/>
        <v>14</v>
      </c>
      <c r="B18" s="24" t="s">
        <v>217</v>
      </c>
      <c r="C18" s="17">
        <v>4</v>
      </c>
      <c r="D18" s="17" t="s">
        <v>149</v>
      </c>
      <c r="E18" s="17" t="s">
        <v>195</v>
      </c>
      <c r="F18" s="17"/>
      <c r="G18" s="26">
        <v>46115</v>
      </c>
    </row>
    <row r="19" spans="1:7" x14ac:dyDescent="0.45">
      <c r="A19" s="17">
        <f t="shared" si="0"/>
        <v>15</v>
      </c>
      <c r="B19" s="18" t="s">
        <v>192</v>
      </c>
      <c r="C19" s="17">
        <v>2</v>
      </c>
      <c r="D19" s="17" t="s">
        <v>149</v>
      </c>
      <c r="E19" s="17" t="s">
        <v>195</v>
      </c>
      <c r="F19" s="17"/>
      <c r="G19" s="26">
        <v>46083</v>
      </c>
    </row>
    <row r="20" spans="1:7" x14ac:dyDescent="0.45">
      <c r="A20" s="17">
        <f t="shared" si="0"/>
        <v>16</v>
      </c>
      <c r="B20" s="18" t="s">
        <v>201</v>
      </c>
      <c r="C20" s="17">
        <v>3</v>
      </c>
      <c r="D20" s="17" t="s">
        <v>149</v>
      </c>
      <c r="E20" s="17" t="s">
        <v>195</v>
      </c>
      <c r="F20" s="17"/>
      <c r="G20" s="26">
        <v>46094</v>
      </c>
    </row>
    <row r="21" spans="1:7" x14ac:dyDescent="0.45">
      <c r="A21" s="17">
        <f t="shared" si="0"/>
        <v>17</v>
      </c>
      <c r="B21" s="18" t="s">
        <v>167</v>
      </c>
      <c r="C21" s="17">
        <v>1</v>
      </c>
      <c r="D21" s="17" t="s">
        <v>149</v>
      </c>
      <c r="E21" s="17" t="s">
        <v>157</v>
      </c>
      <c r="F21" s="17"/>
      <c r="G21" s="26">
        <v>46097</v>
      </c>
    </row>
    <row r="22" spans="1:7" x14ac:dyDescent="0.45">
      <c r="A22" s="17">
        <f t="shared" si="0"/>
        <v>18</v>
      </c>
      <c r="B22" s="18" t="s">
        <v>168</v>
      </c>
      <c r="C22" s="17">
        <v>1</v>
      </c>
      <c r="D22" s="17" t="s">
        <v>149</v>
      </c>
      <c r="E22" s="17" t="s">
        <v>157</v>
      </c>
      <c r="F22" s="17"/>
      <c r="G22" s="26">
        <v>46097</v>
      </c>
    </row>
    <row r="23" spans="1:7" x14ac:dyDescent="0.45">
      <c r="A23" s="17">
        <f t="shared" si="0"/>
        <v>19</v>
      </c>
      <c r="B23" s="18" t="s">
        <v>171</v>
      </c>
      <c r="C23" s="17">
        <v>3</v>
      </c>
      <c r="D23" s="17" t="s">
        <v>149</v>
      </c>
      <c r="E23" s="17" t="s">
        <v>157</v>
      </c>
      <c r="F23" s="17"/>
      <c r="G23" s="26">
        <v>46083</v>
      </c>
    </row>
    <row r="24" spans="1:7" x14ac:dyDescent="0.45">
      <c r="A24" s="17">
        <f t="shared" si="0"/>
        <v>20</v>
      </c>
      <c r="B24" s="18" t="s">
        <v>124</v>
      </c>
      <c r="C24" s="17">
        <v>1</v>
      </c>
      <c r="D24" s="17" t="s">
        <v>149</v>
      </c>
      <c r="E24" s="17" t="s">
        <v>157</v>
      </c>
      <c r="F24" s="17" t="s">
        <v>158</v>
      </c>
      <c r="G24" s="26">
        <v>46083</v>
      </c>
    </row>
    <row r="25" spans="1:7" x14ac:dyDescent="0.45">
      <c r="A25" s="17">
        <f t="shared" si="0"/>
        <v>21</v>
      </c>
      <c r="B25" s="18" t="s">
        <v>205</v>
      </c>
      <c r="C25" s="17">
        <v>1</v>
      </c>
      <c r="D25" s="17" t="s">
        <v>149</v>
      </c>
      <c r="E25" s="17" t="s">
        <v>195</v>
      </c>
      <c r="F25" s="17"/>
      <c r="G25" s="26">
        <v>46111</v>
      </c>
    </row>
    <row r="26" spans="1:7" x14ac:dyDescent="0.45">
      <c r="A26" s="17">
        <f t="shared" si="0"/>
        <v>22</v>
      </c>
      <c r="B26" s="18" t="s">
        <v>180</v>
      </c>
      <c r="C26" s="17">
        <v>1</v>
      </c>
      <c r="D26" s="17" t="s">
        <v>149</v>
      </c>
      <c r="E26" s="17" t="s">
        <v>195</v>
      </c>
      <c r="F26" s="17" t="s">
        <v>158</v>
      </c>
      <c r="G26" s="26">
        <v>46080</v>
      </c>
    </row>
    <row r="27" spans="1:7" x14ac:dyDescent="0.45">
      <c r="A27" s="17">
        <f t="shared" si="0"/>
        <v>23</v>
      </c>
      <c r="B27" s="18" t="s">
        <v>126</v>
      </c>
      <c r="C27" s="17">
        <v>1</v>
      </c>
      <c r="D27" s="17" t="s">
        <v>149</v>
      </c>
      <c r="E27" s="17" t="s">
        <v>195</v>
      </c>
      <c r="F27" s="17"/>
      <c r="G27" s="26">
        <v>46083</v>
      </c>
    </row>
    <row r="28" spans="1:7" x14ac:dyDescent="0.45">
      <c r="A28" s="17">
        <f t="shared" si="0"/>
        <v>24</v>
      </c>
      <c r="B28" s="18" t="s">
        <v>138</v>
      </c>
      <c r="C28" s="17">
        <v>3</v>
      </c>
      <c r="D28" s="17" t="s">
        <v>157</v>
      </c>
      <c r="E28" s="17" t="s">
        <v>157</v>
      </c>
      <c r="F28" s="17"/>
      <c r="G28" s="26">
        <v>46077</v>
      </c>
    </row>
    <row r="29" spans="1:7" x14ac:dyDescent="0.45">
      <c r="A29" s="17">
        <f t="shared" si="0"/>
        <v>25</v>
      </c>
      <c r="B29" s="18" t="s">
        <v>175</v>
      </c>
      <c r="C29" s="17">
        <v>1</v>
      </c>
      <c r="D29" s="17" t="s">
        <v>157</v>
      </c>
      <c r="E29" s="17" t="s">
        <v>157</v>
      </c>
      <c r="F29" s="17"/>
      <c r="G29" s="26">
        <v>46097</v>
      </c>
    </row>
    <row r="30" spans="1:7" x14ac:dyDescent="0.45">
      <c r="A30" s="17">
        <f t="shared" si="0"/>
        <v>26</v>
      </c>
      <c r="B30" s="18" t="s">
        <v>176</v>
      </c>
      <c r="C30" s="17">
        <v>1</v>
      </c>
      <c r="D30" s="17" t="s">
        <v>160</v>
      </c>
      <c r="E30" s="17" t="s">
        <v>157</v>
      </c>
      <c r="F30" s="17"/>
      <c r="G30" s="26">
        <v>46056</v>
      </c>
    </row>
    <row r="31" spans="1:7" x14ac:dyDescent="0.45">
      <c r="A31" s="17">
        <f t="shared" si="0"/>
        <v>27</v>
      </c>
      <c r="B31" s="18" t="s">
        <v>178</v>
      </c>
      <c r="C31" s="17">
        <v>1</v>
      </c>
      <c r="D31" s="17" t="s">
        <v>160</v>
      </c>
      <c r="E31" s="17" t="s">
        <v>157</v>
      </c>
      <c r="F31" s="17"/>
      <c r="G31" s="26">
        <v>46097</v>
      </c>
    </row>
    <row r="32" spans="1:7" x14ac:dyDescent="0.45">
      <c r="A32" s="17">
        <f t="shared" si="0"/>
        <v>28</v>
      </c>
      <c r="B32" s="18" t="s">
        <v>202</v>
      </c>
      <c r="C32" s="17">
        <v>1</v>
      </c>
      <c r="D32" s="17" t="s">
        <v>160</v>
      </c>
      <c r="E32" s="17" t="s">
        <v>195</v>
      </c>
      <c r="F32" s="17"/>
      <c r="G32" s="26">
        <v>46100</v>
      </c>
    </row>
    <row r="33" spans="1:7" x14ac:dyDescent="0.45">
      <c r="A33" s="17">
        <f t="shared" si="0"/>
        <v>29</v>
      </c>
      <c r="B33" s="18" t="s">
        <v>203</v>
      </c>
      <c r="C33" s="17">
        <v>1</v>
      </c>
      <c r="D33" s="17" t="s">
        <v>160</v>
      </c>
      <c r="E33" s="17" t="s">
        <v>195</v>
      </c>
      <c r="F33" s="17"/>
      <c r="G33" s="26"/>
    </row>
    <row r="34" spans="1:7" x14ac:dyDescent="0.45">
      <c r="A34" s="17">
        <f t="shared" si="0"/>
        <v>30</v>
      </c>
      <c r="B34" s="18" t="s">
        <v>179</v>
      </c>
      <c r="C34" s="17">
        <v>2</v>
      </c>
      <c r="D34" s="17" t="s">
        <v>149</v>
      </c>
      <c r="E34" s="17" t="s">
        <v>160</v>
      </c>
      <c r="F34" s="17" t="s">
        <v>158</v>
      </c>
      <c r="G34" s="26">
        <v>46097</v>
      </c>
    </row>
    <row r="35" spans="1:7" x14ac:dyDescent="0.45">
      <c r="A35" s="17">
        <f t="shared" si="0"/>
        <v>31</v>
      </c>
      <c r="B35" s="18" t="s">
        <v>182</v>
      </c>
      <c r="C35" s="17">
        <v>1</v>
      </c>
      <c r="D35" s="17" t="s">
        <v>149</v>
      </c>
      <c r="E35" s="17" t="s">
        <v>160</v>
      </c>
      <c r="F35" s="17"/>
      <c r="G35" s="26">
        <v>46078</v>
      </c>
    </row>
    <row r="36" spans="1:7" x14ac:dyDescent="0.45">
      <c r="A36" s="17">
        <f t="shared" si="0"/>
        <v>32</v>
      </c>
      <c r="B36" s="18" t="s">
        <v>187</v>
      </c>
      <c r="C36" s="17">
        <v>3</v>
      </c>
      <c r="D36" s="17" t="s">
        <v>149</v>
      </c>
      <c r="E36" s="17" t="s">
        <v>160</v>
      </c>
      <c r="F36" s="17" t="s">
        <v>158</v>
      </c>
      <c r="G36" s="26" t="s">
        <v>152</v>
      </c>
    </row>
    <row r="37" spans="1:7" x14ac:dyDescent="0.45">
      <c r="A37" s="17">
        <f t="shared" si="0"/>
        <v>33</v>
      </c>
      <c r="B37" s="18" t="s">
        <v>184</v>
      </c>
      <c r="C37" s="17">
        <v>0.5</v>
      </c>
      <c r="D37" s="17" t="s">
        <v>160</v>
      </c>
      <c r="E37" s="17" t="s">
        <v>160</v>
      </c>
      <c r="F37" s="17"/>
      <c r="G37" s="26">
        <v>46078</v>
      </c>
    </row>
    <row r="38" spans="1:7" x14ac:dyDescent="0.45">
      <c r="A38" s="17">
        <f t="shared" si="0"/>
        <v>34</v>
      </c>
      <c r="B38" s="18" t="s">
        <v>185</v>
      </c>
      <c r="C38" s="17">
        <v>1</v>
      </c>
      <c r="D38" s="17" t="s">
        <v>160</v>
      </c>
      <c r="E38" s="17" t="s">
        <v>160</v>
      </c>
      <c r="F38" s="17"/>
      <c r="G38" s="26">
        <v>46097</v>
      </c>
    </row>
    <row r="39" spans="1:7" x14ac:dyDescent="0.45">
      <c r="A39" s="17">
        <f t="shared" si="0"/>
        <v>35</v>
      </c>
      <c r="B39" s="18" t="s">
        <v>186</v>
      </c>
      <c r="C39" s="17">
        <v>0.5</v>
      </c>
      <c r="D39" s="17" t="s">
        <v>160</v>
      </c>
      <c r="E39" s="17" t="s">
        <v>160</v>
      </c>
      <c r="F39" s="17"/>
      <c r="G39" s="26">
        <v>46077</v>
      </c>
    </row>
    <row r="40" spans="1:7" x14ac:dyDescent="0.45">
      <c r="A40" s="17">
        <f t="shared" si="0"/>
        <v>36</v>
      </c>
      <c r="B40" s="18"/>
      <c r="C40" s="17"/>
      <c r="D40" s="17"/>
      <c r="E40" s="17"/>
      <c r="F40" s="17"/>
      <c r="G40" s="26"/>
    </row>
    <row r="41" spans="1:7" x14ac:dyDescent="0.45">
      <c r="A41" s="17">
        <f t="shared" si="0"/>
        <v>37</v>
      </c>
      <c r="B41" s="18"/>
      <c r="C41" s="17"/>
      <c r="D41" s="17"/>
      <c r="E41" s="17"/>
      <c r="F41" s="17"/>
      <c r="G41" s="26"/>
    </row>
    <row r="42" spans="1:7" x14ac:dyDescent="0.45">
      <c r="A42" s="17">
        <f t="shared" si="0"/>
        <v>38</v>
      </c>
      <c r="B42" s="18"/>
      <c r="C42" s="17"/>
      <c r="D42" s="17"/>
      <c r="E42" s="17"/>
      <c r="F42" s="17"/>
      <c r="G42" s="26"/>
    </row>
    <row r="43" spans="1:7" x14ac:dyDescent="0.45">
      <c r="A43" s="17">
        <f t="shared" si="0"/>
        <v>39</v>
      </c>
      <c r="B43" s="18"/>
      <c r="C43" s="17"/>
      <c r="D43" s="17"/>
      <c r="E43" s="17"/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ht="18.600000000000001" thickBot="1" x14ac:dyDescent="0.5">
      <c r="A47" s="19">
        <f t="shared" si="0"/>
        <v>43</v>
      </c>
      <c r="B47" s="20"/>
      <c r="C47" s="19"/>
      <c r="D47" s="19"/>
      <c r="E47" s="19"/>
      <c r="F47" s="19"/>
      <c r="G47" s="27"/>
    </row>
    <row r="48" spans="1:7" ht="18.600000000000001" thickTop="1" x14ac:dyDescent="0.45">
      <c r="B48" s="21" t="s">
        <v>188</v>
      </c>
      <c r="C48" s="22">
        <f>SUM(C5:C47)</f>
        <v>53</v>
      </c>
    </row>
    <row r="49" spans="2:7" x14ac:dyDescent="0.45">
      <c r="B49" s="23"/>
    </row>
    <row r="50" spans="2:7" x14ac:dyDescent="0.45">
      <c r="E50" s="22" t="s">
        <v>145</v>
      </c>
    </row>
    <row r="51" spans="2:7" x14ac:dyDescent="0.45">
      <c r="C51" s="24"/>
      <c r="D51" s="25" t="s">
        <v>149</v>
      </c>
      <c r="E51" s="25" t="s">
        <v>157</v>
      </c>
      <c r="F51" s="25" t="s">
        <v>160</v>
      </c>
      <c r="G51" s="25" t="s">
        <v>188</v>
      </c>
    </row>
    <row r="52" spans="2:7" x14ac:dyDescent="0.45">
      <c r="B52" s="21" t="s">
        <v>189</v>
      </c>
      <c r="C52" s="25" t="s">
        <v>149</v>
      </c>
      <c r="D52" s="17">
        <f t="shared" ref="D52:F54" si="1">SUMIFS($C$5:$C$47,$D$5:$D$47,D$51,$E$5:$E$47,$C52)</f>
        <v>14</v>
      </c>
      <c r="E52" s="17">
        <f t="shared" si="1"/>
        <v>4</v>
      </c>
      <c r="F52" s="17">
        <f t="shared" si="1"/>
        <v>1</v>
      </c>
      <c r="G52" s="17">
        <f>SUM(D52:F52)</f>
        <v>19</v>
      </c>
    </row>
    <row r="53" spans="2:7" x14ac:dyDescent="0.45">
      <c r="B53" s="21" t="s">
        <v>190</v>
      </c>
      <c r="C53" s="25" t="s">
        <v>157</v>
      </c>
      <c r="D53" s="17">
        <f t="shared" si="1"/>
        <v>18</v>
      </c>
      <c r="E53" s="17">
        <f t="shared" si="1"/>
        <v>4</v>
      </c>
      <c r="F53" s="17">
        <f t="shared" si="1"/>
        <v>4</v>
      </c>
      <c r="G53" s="17">
        <f>SUM(D53:F53)</f>
        <v>26</v>
      </c>
    </row>
    <row r="54" spans="2:7" x14ac:dyDescent="0.45">
      <c r="B54" s="21" t="s">
        <v>191</v>
      </c>
      <c r="C54" s="25" t="s">
        <v>160</v>
      </c>
      <c r="D54" s="17">
        <f t="shared" si="1"/>
        <v>6</v>
      </c>
      <c r="E54" s="17">
        <f t="shared" si="1"/>
        <v>0</v>
      </c>
      <c r="F54" s="17">
        <f t="shared" si="1"/>
        <v>2</v>
      </c>
      <c r="G54" s="17">
        <f>SUM(D54:F54)</f>
        <v>8</v>
      </c>
    </row>
    <row r="55" spans="2:7" x14ac:dyDescent="0.45">
      <c r="C55" s="25" t="s">
        <v>188</v>
      </c>
      <c r="D55" s="25">
        <f>SUM(D52:D54)</f>
        <v>38</v>
      </c>
      <c r="E55" s="25">
        <f>SUM(E52:E54)</f>
        <v>8</v>
      </c>
      <c r="F55" s="25">
        <f>SUM(F52:F54)</f>
        <v>7</v>
      </c>
      <c r="G55" s="25">
        <f>SUM(G52:G54)</f>
        <v>53</v>
      </c>
    </row>
  </sheetData>
  <autoFilter ref="A4:G48" xr:uid="{540F0E9F-74CD-4472-8016-39E12128DD81}">
    <sortState xmlns:xlrd2="http://schemas.microsoft.com/office/spreadsheetml/2017/richdata2" ref="A5:G48">
      <sortCondition ref="E4:E48"/>
    </sortState>
  </autoFilter>
  <phoneticPr fontId="1"/>
  <conditionalFormatting sqref="D52:F54">
    <cfRule type="colorScale" priority="4">
      <colorScale>
        <cfvo type="min"/>
        <cfvo type="max"/>
        <color rgb="FFFCFCFF"/>
        <color rgb="FF63BE7B"/>
      </colorScale>
    </cfRule>
  </conditionalFormatting>
  <conditionalFormatting sqref="D5:E47">
    <cfRule type="containsText" dxfId="47" priority="1" operator="containsText" text="低">
      <formula>NOT(ISERROR(SEARCH("低",D5)))</formula>
    </cfRule>
    <cfRule type="containsText" dxfId="46" priority="2" operator="containsText" text="中">
      <formula>NOT(ISERROR(SEARCH("中",D5)))</formula>
    </cfRule>
    <cfRule type="containsText" dxfId="45" priority="3" operator="containsText" text="高">
      <formula>NOT(ISERROR(SEARCH("高",D5)))</formula>
    </cfRule>
  </conditionalFormatting>
  <pageMargins left="0.75" right="0.75" top="1" bottom="1" header="0.511811023622047" footer="0.511811023622047"/>
  <pageSetup paperSize="9" scale="68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1B1D-D102-45FA-B234-2742A845C21C}">
  <sheetPr>
    <pageSetUpPr fitToPage="1"/>
  </sheetPr>
  <dimension ref="A1:G55"/>
  <sheetViews>
    <sheetView topLeftCell="A18" zoomScaleNormal="100" workbookViewId="0">
      <selection activeCell="B43" sqref="B43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47" si="0">ROW(A5)-4</f>
        <v>1</v>
      </c>
      <c r="B5" s="18" t="s">
        <v>196</v>
      </c>
      <c r="C5" s="17">
        <v>2</v>
      </c>
      <c r="D5" s="17" t="s">
        <v>149</v>
      </c>
      <c r="E5" s="17" t="s">
        <v>149</v>
      </c>
      <c r="F5" s="17"/>
      <c r="G5" s="26">
        <v>46090</v>
      </c>
    </row>
    <row r="6" spans="1:7" x14ac:dyDescent="0.45">
      <c r="A6" s="17">
        <f t="shared" si="0"/>
        <v>2</v>
      </c>
      <c r="B6" s="18" t="s">
        <v>164</v>
      </c>
      <c r="C6" s="17">
        <v>2</v>
      </c>
      <c r="D6" s="17" t="s">
        <v>149</v>
      </c>
      <c r="E6" s="17" t="s">
        <v>149</v>
      </c>
      <c r="F6" s="17"/>
      <c r="G6" s="26">
        <v>46094</v>
      </c>
    </row>
    <row r="7" spans="1:7" x14ac:dyDescent="0.45">
      <c r="A7" s="17">
        <f t="shared" si="0"/>
        <v>3</v>
      </c>
      <c r="B7" s="18" t="s">
        <v>173</v>
      </c>
      <c r="C7" s="17">
        <v>1</v>
      </c>
      <c r="D7" s="17" t="s">
        <v>194</v>
      </c>
      <c r="E7" s="17" t="s">
        <v>194</v>
      </c>
      <c r="F7" s="17"/>
      <c r="G7" s="26">
        <v>46097</v>
      </c>
    </row>
    <row r="8" spans="1:7" x14ac:dyDescent="0.45">
      <c r="A8" s="17">
        <f t="shared" si="0"/>
        <v>4</v>
      </c>
      <c r="B8" s="18" t="s">
        <v>165</v>
      </c>
      <c r="C8" s="17">
        <v>2</v>
      </c>
      <c r="D8" s="17" t="s">
        <v>149</v>
      </c>
      <c r="E8" s="17" t="s">
        <v>194</v>
      </c>
      <c r="F8" s="17"/>
      <c r="G8" s="26">
        <v>46093</v>
      </c>
    </row>
    <row r="9" spans="1:7" x14ac:dyDescent="0.45">
      <c r="A9" s="17">
        <f t="shared" si="0"/>
        <v>5</v>
      </c>
      <c r="B9" s="18" t="s">
        <v>204</v>
      </c>
      <c r="C9" s="17">
        <v>1</v>
      </c>
      <c r="D9" s="17" t="s">
        <v>149</v>
      </c>
      <c r="E9" s="17" t="s">
        <v>194</v>
      </c>
      <c r="F9" s="17"/>
      <c r="G9" s="26">
        <v>46108</v>
      </c>
    </row>
    <row r="10" spans="1:7" x14ac:dyDescent="0.45">
      <c r="A10" s="17">
        <f t="shared" si="0"/>
        <v>6</v>
      </c>
      <c r="B10" s="24" t="s">
        <v>208</v>
      </c>
      <c r="C10" s="17">
        <v>2</v>
      </c>
      <c r="D10" s="17" t="s">
        <v>149</v>
      </c>
      <c r="E10" s="17" t="s">
        <v>194</v>
      </c>
      <c r="F10" s="17"/>
      <c r="G10" s="26">
        <v>46108</v>
      </c>
    </row>
    <row r="11" spans="1:7" x14ac:dyDescent="0.45">
      <c r="A11" s="17">
        <f t="shared" si="0"/>
        <v>7</v>
      </c>
      <c r="B11" s="18" t="s">
        <v>209</v>
      </c>
      <c r="C11" s="17">
        <v>3</v>
      </c>
      <c r="D11" s="17" t="s">
        <v>149</v>
      </c>
      <c r="E11" s="17" t="s">
        <v>194</v>
      </c>
      <c r="F11" s="17"/>
      <c r="G11" s="26">
        <v>46111</v>
      </c>
    </row>
    <row r="12" spans="1:7" x14ac:dyDescent="0.45">
      <c r="A12" s="17">
        <f t="shared" si="0"/>
        <v>8</v>
      </c>
      <c r="B12" s="18" t="s">
        <v>210</v>
      </c>
      <c r="C12" s="17">
        <v>1</v>
      </c>
      <c r="D12" s="17" t="s">
        <v>149</v>
      </c>
      <c r="E12" s="17" t="s">
        <v>194</v>
      </c>
      <c r="F12" s="17" t="s">
        <v>212</v>
      </c>
      <c r="G12" s="26">
        <v>46111</v>
      </c>
    </row>
    <row r="13" spans="1:7" x14ac:dyDescent="0.45">
      <c r="A13" s="17">
        <f t="shared" si="0"/>
        <v>9</v>
      </c>
      <c r="B13" s="18" t="s">
        <v>213</v>
      </c>
      <c r="C13" s="17">
        <v>1</v>
      </c>
      <c r="D13" s="17" t="s">
        <v>149</v>
      </c>
      <c r="E13" s="17" t="s">
        <v>194</v>
      </c>
      <c r="F13" s="17" t="s">
        <v>212</v>
      </c>
      <c r="G13" s="26">
        <v>46111</v>
      </c>
    </row>
    <row r="14" spans="1:7" x14ac:dyDescent="0.45">
      <c r="A14" s="17">
        <f t="shared" si="0"/>
        <v>10</v>
      </c>
      <c r="B14" s="18" t="s">
        <v>211</v>
      </c>
      <c r="C14" s="17">
        <v>1</v>
      </c>
      <c r="D14" s="17" t="s">
        <v>149</v>
      </c>
      <c r="E14" s="17" t="s">
        <v>194</v>
      </c>
      <c r="F14" s="17" t="s">
        <v>212</v>
      </c>
      <c r="G14" s="26">
        <v>46111</v>
      </c>
    </row>
    <row r="15" spans="1:7" x14ac:dyDescent="0.45">
      <c r="A15" s="17">
        <f t="shared" si="0"/>
        <v>11</v>
      </c>
      <c r="B15" s="18" t="s">
        <v>131</v>
      </c>
      <c r="C15" s="17">
        <v>1</v>
      </c>
      <c r="D15" s="17" t="s">
        <v>195</v>
      </c>
      <c r="E15" s="17" t="s">
        <v>194</v>
      </c>
      <c r="F15" s="17"/>
      <c r="G15" s="26">
        <v>46083</v>
      </c>
    </row>
    <row r="16" spans="1:7" x14ac:dyDescent="0.45">
      <c r="A16" s="17">
        <f t="shared" si="0"/>
        <v>12</v>
      </c>
      <c r="B16" s="18" t="s">
        <v>197</v>
      </c>
      <c r="C16" s="17">
        <v>3</v>
      </c>
      <c r="D16" s="17" t="s">
        <v>195</v>
      </c>
      <c r="E16" s="17" t="s">
        <v>194</v>
      </c>
      <c r="F16" s="17"/>
      <c r="G16" s="26">
        <v>46104</v>
      </c>
    </row>
    <row r="17" spans="1:7" x14ac:dyDescent="0.45">
      <c r="A17" s="17">
        <f t="shared" si="0"/>
        <v>13</v>
      </c>
      <c r="B17" s="18" t="s">
        <v>198</v>
      </c>
      <c r="C17" s="17">
        <v>1</v>
      </c>
      <c r="D17" s="17" t="s">
        <v>160</v>
      </c>
      <c r="E17" s="17" t="s">
        <v>149</v>
      </c>
      <c r="F17" s="17"/>
      <c r="G17" s="26">
        <v>46094</v>
      </c>
    </row>
    <row r="18" spans="1:7" x14ac:dyDescent="0.45">
      <c r="A18" s="17">
        <f t="shared" si="0"/>
        <v>14</v>
      </c>
      <c r="B18" s="18" t="s">
        <v>192</v>
      </c>
      <c r="C18" s="17">
        <v>2</v>
      </c>
      <c r="D18" s="17" t="s">
        <v>149</v>
      </c>
      <c r="E18" s="17" t="s">
        <v>195</v>
      </c>
      <c r="F18" s="17"/>
      <c r="G18" s="26">
        <v>46083</v>
      </c>
    </row>
    <row r="19" spans="1:7" x14ac:dyDescent="0.45">
      <c r="A19" s="17">
        <f t="shared" si="0"/>
        <v>15</v>
      </c>
      <c r="B19" s="18" t="s">
        <v>201</v>
      </c>
      <c r="C19" s="17">
        <v>3</v>
      </c>
      <c r="D19" s="17" t="s">
        <v>149</v>
      </c>
      <c r="E19" s="17" t="s">
        <v>195</v>
      </c>
      <c r="F19" s="17"/>
      <c r="G19" s="26">
        <v>46094</v>
      </c>
    </row>
    <row r="20" spans="1:7" x14ac:dyDescent="0.45">
      <c r="A20" s="17">
        <f t="shared" si="0"/>
        <v>16</v>
      </c>
      <c r="B20" s="18" t="s">
        <v>167</v>
      </c>
      <c r="C20" s="17">
        <v>1</v>
      </c>
      <c r="D20" s="17" t="s">
        <v>149</v>
      </c>
      <c r="E20" s="17" t="s">
        <v>157</v>
      </c>
      <c r="F20" s="17"/>
      <c r="G20" s="26">
        <v>46097</v>
      </c>
    </row>
    <row r="21" spans="1:7" x14ac:dyDescent="0.45">
      <c r="A21" s="17">
        <f t="shared" si="0"/>
        <v>17</v>
      </c>
      <c r="B21" s="18" t="s">
        <v>168</v>
      </c>
      <c r="C21" s="17">
        <v>1</v>
      </c>
      <c r="D21" s="17" t="s">
        <v>149</v>
      </c>
      <c r="E21" s="17" t="s">
        <v>157</v>
      </c>
      <c r="F21" s="17"/>
      <c r="G21" s="26">
        <v>46097</v>
      </c>
    </row>
    <row r="22" spans="1:7" x14ac:dyDescent="0.45">
      <c r="A22" s="17">
        <f t="shared" si="0"/>
        <v>18</v>
      </c>
      <c r="B22" s="18" t="s">
        <v>128</v>
      </c>
      <c r="C22" s="17">
        <v>2</v>
      </c>
      <c r="D22" s="17" t="s">
        <v>149</v>
      </c>
      <c r="E22" s="17" t="s">
        <v>157</v>
      </c>
      <c r="F22" s="17"/>
      <c r="G22" s="26">
        <v>46083</v>
      </c>
    </row>
    <row r="23" spans="1:7" x14ac:dyDescent="0.45">
      <c r="A23" s="17">
        <f t="shared" si="0"/>
        <v>19</v>
      </c>
      <c r="B23" s="18" t="s">
        <v>170</v>
      </c>
      <c r="C23" s="17">
        <v>3</v>
      </c>
      <c r="D23" s="17" t="s">
        <v>149</v>
      </c>
      <c r="E23" s="17" t="s">
        <v>157</v>
      </c>
      <c r="F23" s="17"/>
      <c r="G23" s="26">
        <v>46083</v>
      </c>
    </row>
    <row r="24" spans="1:7" x14ac:dyDescent="0.45">
      <c r="A24" s="17">
        <f t="shared" si="0"/>
        <v>20</v>
      </c>
      <c r="B24" s="18" t="s">
        <v>171</v>
      </c>
      <c r="C24" s="17">
        <v>3</v>
      </c>
      <c r="D24" s="17" t="s">
        <v>149</v>
      </c>
      <c r="E24" s="17" t="s">
        <v>157</v>
      </c>
      <c r="F24" s="17"/>
      <c r="G24" s="26">
        <v>46083</v>
      </c>
    </row>
    <row r="25" spans="1:7" x14ac:dyDescent="0.45">
      <c r="A25" s="17">
        <f t="shared" si="0"/>
        <v>21</v>
      </c>
      <c r="B25" s="18" t="s">
        <v>124</v>
      </c>
      <c r="C25" s="17">
        <v>1</v>
      </c>
      <c r="D25" s="17" t="s">
        <v>149</v>
      </c>
      <c r="E25" s="17" t="s">
        <v>157</v>
      </c>
      <c r="F25" s="17" t="s">
        <v>158</v>
      </c>
      <c r="G25" s="26">
        <v>46083</v>
      </c>
    </row>
    <row r="26" spans="1:7" x14ac:dyDescent="0.45">
      <c r="A26" s="17">
        <f t="shared" si="0"/>
        <v>22</v>
      </c>
      <c r="B26" s="18" t="s">
        <v>172</v>
      </c>
      <c r="C26" s="17">
        <v>2</v>
      </c>
      <c r="D26" s="17" t="s">
        <v>149</v>
      </c>
      <c r="E26" s="17" t="s">
        <v>157</v>
      </c>
      <c r="F26" s="17"/>
      <c r="G26" s="26">
        <v>46083</v>
      </c>
    </row>
    <row r="27" spans="1:7" x14ac:dyDescent="0.45">
      <c r="A27" s="17">
        <f t="shared" si="0"/>
        <v>23</v>
      </c>
      <c r="B27" s="18" t="s">
        <v>205</v>
      </c>
      <c r="C27" s="17">
        <v>1</v>
      </c>
      <c r="D27" s="17" t="s">
        <v>149</v>
      </c>
      <c r="E27" s="17" t="s">
        <v>195</v>
      </c>
      <c r="F27" s="17"/>
      <c r="G27" s="26">
        <v>46111</v>
      </c>
    </row>
    <row r="28" spans="1:7" x14ac:dyDescent="0.45">
      <c r="A28" s="17">
        <f t="shared" si="0"/>
        <v>24</v>
      </c>
      <c r="B28" s="18" t="s">
        <v>206</v>
      </c>
      <c r="C28" s="17">
        <v>2</v>
      </c>
      <c r="D28" s="17" t="s">
        <v>149</v>
      </c>
      <c r="E28" s="17" t="s">
        <v>195</v>
      </c>
      <c r="F28" s="17"/>
      <c r="G28" s="26">
        <v>46112</v>
      </c>
    </row>
    <row r="29" spans="1:7" x14ac:dyDescent="0.45">
      <c r="A29" s="17">
        <f t="shared" si="0"/>
        <v>25</v>
      </c>
      <c r="B29" s="18" t="s">
        <v>207</v>
      </c>
      <c r="C29" s="17">
        <v>2</v>
      </c>
      <c r="D29" s="17" t="s">
        <v>149</v>
      </c>
      <c r="E29" s="17" t="s">
        <v>195</v>
      </c>
      <c r="F29" s="17"/>
      <c r="G29" s="26">
        <v>46112</v>
      </c>
    </row>
    <row r="30" spans="1:7" x14ac:dyDescent="0.45">
      <c r="A30" s="17">
        <f t="shared" si="0"/>
        <v>26</v>
      </c>
      <c r="B30" s="18" t="s">
        <v>138</v>
      </c>
      <c r="C30" s="17">
        <v>3</v>
      </c>
      <c r="D30" s="17" t="s">
        <v>157</v>
      </c>
      <c r="E30" s="17" t="s">
        <v>157</v>
      </c>
      <c r="F30" s="17"/>
      <c r="G30" s="26">
        <v>46077</v>
      </c>
    </row>
    <row r="31" spans="1:7" x14ac:dyDescent="0.45">
      <c r="A31" s="17">
        <f t="shared" si="0"/>
        <v>27</v>
      </c>
      <c r="B31" s="18" t="s">
        <v>175</v>
      </c>
      <c r="C31" s="17">
        <v>1</v>
      </c>
      <c r="D31" s="17" t="s">
        <v>157</v>
      </c>
      <c r="E31" s="17" t="s">
        <v>157</v>
      </c>
      <c r="F31" s="17"/>
      <c r="G31" s="26">
        <v>46097</v>
      </c>
    </row>
    <row r="32" spans="1:7" x14ac:dyDescent="0.45">
      <c r="A32" s="17">
        <f t="shared" si="0"/>
        <v>28</v>
      </c>
      <c r="B32" s="18" t="s">
        <v>176</v>
      </c>
      <c r="C32" s="17">
        <v>1</v>
      </c>
      <c r="D32" s="17" t="s">
        <v>160</v>
      </c>
      <c r="E32" s="17" t="s">
        <v>157</v>
      </c>
      <c r="F32" s="17"/>
      <c r="G32" s="26">
        <v>46056</v>
      </c>
    </row>
    <row r="33" spans="1:7" x14ac:dyDescent="0.45">
      <c r="A33" s="17">
        <f t="shared" si="0"/>
        <v>29</v>
      </c>
      <c r="B33" s="18" t="s">
        <v>178</v>
      </c>
      <c r="C33" s="17">
        <v>1</v>
      </c>
      <c r="D33" s="17" t="s">
        <v>160</v>
      </c>
      <c r="E33" s="17" t="s">
        <v>157</v>
      </c>
      <c r="F33" s="17"/>
      <c r="G33" s="26">
        <v>46097</v>
      </c>
    </row>
    <row r="34" spans="1:7" x14ac:dyDescent="0.45">
      <c r="A34" s="17">
        <f t="shared" si="0"/>
        <v>30</v>
      </c>
      <c r="B34" s="18" t="s">
        <v>179</v>
      </c>
      <c r="C34" s="17">
        <v>2</v>
      </c>
      <c r="D34" s="17" t="s">
        <v>149</v>
      </c>
      <c r="E34" s="17" t="s">
        <v>160</v>
      </c>
      <c r="F34" s="17" t="s">
        <v>158</v>
      </c>
      <c r="G34" s="26">
        <v>46097</v>
      </c>
    </row>
    <row r="35" spans="1:7" x14ac:dyDescent="0.45">
      <c r="A35" s="17">
        <f t="shared" si="0"/>
        <v>31</v>
      </c>
      <c r="B35" s="18" t="s">
        <v>180</v>
      </c>
      <c r="C35" s="17">
        <v>1</v>
      </c>
      <c r="D35" s="17" t="s">
        <v>149</v>
      </c>
      <c r="E35" s="17" t="s">
        <v>160</v>
      </c>
      <c r="F35" s="17" t="s">
        <v>158</v>
      </c>
      <c r="G35" s="26">
        <v>46080</v>
      </c>
    </row>
    <row r="36" spans="1:7" x14ac:dyDescent="0.45">
      <c r="A36" s="17">
        <f t="shared" si="0"/>
        <v>32</v>
      </c>
      <c r="B36" s="18" t="s">
        <v>126</v>
      </c>
      <c r="C36" s="17">
        <v>1</v>
      </c>
      <c r="D36" s="17" t="s">
        <v>149</v>
      </c>
      <c r="E36" s="17" t="s">
        <v>160</v>
      </c>
      <c r="F36" s="17"/>
      <c r="G36" s="26">
        <v>46083</v>
      </c>
    </row>
    <row r="37" spans="1:7" x14ac:dyDescent="0.45">
      <c r="A37" s="17">
        <f t="shared" si="0"/>
        <v>33</v>
      </c>
      <c r="B37" s="18" t="s">
        <v>182</v>
      </c>
      <c r="C37" s="17">
        <v>1</v>
      </c>
      <c r="D37" s="17" t="s">
        <v>149</v>
      </c>
      <c r="E37" s="17" t="s">
        <v>160</v>
      </c>
      <c r="F37" s="17"/>
      <c r="G37" s="26">
        <v>46078</v>
      </c>
    </row>
    <row r="38" spans="1:7" x14ac:dyDescent="0.45">
      <c r="A38" s="17">
        <f t="shared" si="0"/>
        <v>34</v>
      </c>
      <c r="B38" s="18" t="s">
        <v>187</v>
      </c>
      <c r="C38" s="17">
        <v>3</v>
      </c>
      <c r="D38" s="17" t="s">
        <v>149</v>
      </c>
      <c r="E38" s="17" t="s">
        <v>160</v>
      </c>
      <c r="F38" s="17" t="s">
        <v>158</v>
      </c>
      <c r="G38" s="26" t="s">
        <v>152</v>
      </c>
    </row>
    <row r="39" spans="1:7" x14ac:dyDescent="0.45">
      <c r="A39" s="17">
        <f t="shared" si="0"/>
        <v>35</v>
      </c>
      <c r="B39" s="18" t="s">
        <v>184</v>
      </c>
      <c r="C39" s="17">
        <v>0.5</v>
      </c>
      <c r="D39" s="17" t="s">
        <v>160</v>
      </c>
      <c r="E39" s="17" t="s">
        <v>160</v>
      </c>
      <c r="F39" s="17"/>
      <c r="G39" s="26">
        <v>46078</v>
      </c>
    </row>
    <row r="40" spans="1:7" x14ac:dyDescent="0.45">
      <c r="A40" s="17">
        <f t="shared" si="0"/>
        <v>36</v>
      </c>
      <c r="B40" s="18" t="s">
        <v>185</v>
      </c>
      <c r="C40" s="17">
        <v>1</v>
      </c>
      <c r="D40" s="17" t="s">
        <v>160</v>
      </c>
      <c r="E40" s="17" t="s">
        <v>160</v>
      </c>
      <c r="F40" s="17"/>
      <c r="G40" s="26">
        <v>46097</v>
      </c>
    </row>
    <row r="41" spans="1:7" x14ac:dyDescent="0.45">
      <c r="A41" s="17">
        <f t="shared" si="0"/>
        <v>37</v>
      </c>
      <c r="B41" s="18" t="s">
        <v>186</v>
      </c>
      <c r="C41" s="17">
        <v>0.5</v>
      </c>
      <c r="D41" s="17" t="s">
        <v>160</v>
      </c>
      <c r="E41" s="17" t="s">
        <v>160</v>
      </c>
      <c r="F41" s="17"/>
      <c r="G41" s="26">
        <v>46077</v>
      </c>
    </row>
    <row r="42" spans="1:7" x14ac:dyDescent="0.45">
      <c r="A42" s="17">
        <f t="shared" si="0"/>
        <v>38</v>
      </c>
      <c r="B42" s="18" t="s">
        <v>202</v>
      </c>
      <c r="C42" s="17">
        <v>1</v>
      </c>
      <c r="D42" s="17" t="s">
        <v>160</v>
      </c>
      <c r="E42" s="17" t="s">
        <v>160</v>
      </c>
      <c r="F42" s="17"/>
      <c r="G42" s="26">
        <v>46100</v>
      </c>
    </row>
    <row r="43" spans="1:7" x14ac:dyDescent="0.45">
      <c r="A43" s="17">
        <f t="shared" si="0"/>
        <v>39</v>
      </c>
      <c r="B43" s="18" t="s">
        <v>203</v>
      </c>
      <c r="C43" s="17">
        <v>1</v>
      </c>
      <c r="D43" s="17" t="s">
        <v>160</v>
      </c>
      <c r="E43" s="17" t="s">
        <v>160</v>
      </c>
      <c r="F43" s="17"/>
      <c r="G43" s="26"/>
    </row>
    <row r="44" spans="1:7" x14ac:dyDescent="0.45">
      <c r="A44" s="17">
        <f t="shared" si="0"/>
        <v>40</v>
      </c>
      <c r="B44" s="18"/>
      <c r="C44" s="17"/>
      <c r="D44" s="17"/>
      <c r="E44" s="17"/>
      <c r="F44" s="17"/>
      <c r="G44" s="26"/>
    </row>
    <row r="45" spans="1:7" x14ac:dyDescent="0.45">
      <c r="A45" s="17">
        <f t="shared" si="0"/>
        <v>41</v>
      </c>
      <c r="B45" s="18"/>
      <c r="C45" s="17"/>
      <c r="D45" s="17"/>
      <c r="E45" s="17"/>
      <c r="F45" s="17"/>
      <c r="G45" s="26"/>
    </row>
    <row r="46" spans="1:7" x14ac:dyDescent="0.45">
      <c r="A46" s="17">
        <f t="shared" si="0"/>
        <v>42</v>
      </c>
      <c r="B46" s="18"/>
      <c r="C46" s="17"/>
      <c r="D46" s="17"/>
      <c r="E46" s="17"/>
      <c r="F46" s="17"/>
      <c r="G46" s="26"/>
    </row>
    <row r="47" spans="1:7" ht="18.600000000000001" thickBot="1" x14ac:dyDescent="0.5">
      <c r="A47" s="19">
        <f t="shared" si="0"/>
        <v>43</v>
      </c>
      <c r="B47" s="20"/>
      <c r="C47" s="19"/>
      <c r="D47" s="19"/>
      <c r="E47" s="19"/>
      <c r="F47" s="19"/>
      <c r="G47" s="27"/>
    </row>
    <row r="48" spans="1:7" ht="18.600000000000001" thickTop="1" x14ac:dyDescent="0.45">
      <c r="B48" s="21" t="s">
        <v>188</v>
      </c>
      <c r="C48" s="22">
        <f>SUM(C5:C47)</f>
        <v>62</v>
      </c>
    </row>
    <row r="49" spans="2:7" x14ac:dyDescent="0.45">
      <c r="B49" s="23"/>
    </row>
    <row r="50" spans="2:7" x14ac:dyDescent="0.45">
      <c r="E50" s="22" t="s">
        <v>145</v>
      </c>
    </row>
    <row r="51" spans="2:7" x14ac:dyDescent="0.45">
      <c r="C51" s="24"/>
      <c r="D51" s="25" t="s">
        <v>149</v>
      </c>
      <c r="E51" s="25" t="s">
        <v>157</v>
      </c>
      <c r="F51" s="25" t="s">
        <v>160</v>
      </c>
      <c r="G51" s="25" t="s">
        <v>188</v>
      </c>
    </row>
    <row r="52" spans="2:7" x14ac:dyDescent="0.45">
      <c r="B52" s="21" t="s">
        <v>189</v>
      </c>
      <c r="C52" s="25" t="s">
        <v>149</v>
      </c>
      <c r="D52" s="17">
        <f t="shared" ref="D52:F54" si="1">SUMIFS($C$5:$C$47,$D$5:$D$47,D$51,$E$5:$E$47,$C52)</f>
        <v>16</v>
      </c>
      <c r="E52" s="17">
        <f t="shared" si="1"/>
        <v>4</v>
      </c>
      <c r="F52" s="17">
        <f t="shared" si="1"/>
        <v>1</v>
      </c>
      <c r="G52" s="17">
        <f>SUM(D52:F52)</f>
        <v>21</v>
      </c>
    </row>
    <row r="53" spans="2:7" x14ac:dyDescent="0.45">
      <c r="B53" s="21" t="s">
        <v>190</v>
      </c>
      <c r="C53" s="25" t="s">
        <v>157</v>
      </c>
      <c r="D53" s="17">
        <f t="shared" si="1"/>
        <v>23</v>
      </c>
      <c r="E53" s="17">
        <f t="shared" si="1"/>
        <v>4</v>
      </c>
      <c r="F53" s="17">
        <f t="shared" si="1"/>
        <v>2</v>
      </c>
      <c r="G53" s="17">
        <f>SUM(D53:F53)</f>
        <v>29</v>
      </c>
    </row>
    <row r="54" spans="2:7" x14ac:dyDescent="0.45">
      <c r="B54" s="21" t="s">
        <v>191</v>
      </c>
      <c r="C54" s="25" t="s">
        <v>160</v>
      </c>
      <c r="D54" s="17">
        <f t="shared" si="1"/>
        <v>8</v>
      </c>
      <c r="E54" s="17">
        <f t="shared" si="1"/>
        <v>0</v>
      </c>
      <c r="F54" s="17">
        <f t="shared" si="1"/>
        <v>4</v>
      </c>
      <c r="G54" s="17">
        <f>SUM(D54:F54)</f>
        <v>12</v>
      </c>
    </row>
    <row r="55" spans="2:7" x14ac:dyDescent="0.45">
      <c r="C55" s="25" t="s">
        <v>188</v>
      </c>
      <c r="D55" s="25">
        <f>SUM(D52:D54)</f>
        <v>47</v>
      </c>
      <c r="E55" s="25">
        <f>SUM(E52:E54)</f>
        <v>8</v>
      </c>
      <c r="F55" s="25">
        <f>SUM(F52:F54)</f>
        <v>7</v>
      </c>
      <c r="G55" s="25">
        <f>SUM(G52:G54)</f>
        <v>62</v>
      </c>
    </row>
  </sheetData>
  <autoFilter ref="A4:G48" xr:uid="{540F0E9F-74CD-4472-8016-39E12128DD81}">
    <sortState xmlns:xlrd2="http://schemas.microsoft.com/office/spreadsheetml/2017/richdata2" ref="A5:G48">
      <sortCondition ref="E4:E48"/>
    </sortState>
  </autoFilter>
  <phoneticPr fontId="1"/>
  <conditionalFormatting sqref="D52:F54">
    <cfRule type="colorScale" priority="4">
      <colorScale>
        <cfvo type="min"/>
        <cfvo type="max"/>
        <color rgb="FFFCFCFF"/>
        <color rgb="FF63BE7B"/>
      </colorScale>
    </cfRule>
  </conditionalFormatting>
  <conditionalFormatting sqref="D5:E47">
    <cfRule type="containsText" dxfId="44" priority="1" operator="containsText" text="低">
      <formula>NOT(ISERROR(SEARCH("低",D5)))</formula>
    </cfRule>
    <cfRule type="containsText" dxfId="43" priority="2" operator="containsText" text="中">
      <formula>NOT(ISERROR(SEARCH("中",D5)))</formula>
    </cfRule>
    <cfRule type="containsText" dxfId="42" priority="3" operator="containsText" text="高">
      <formula>NOT(ISERROR(SEARCH("高",D5)))</formula>
    </cfRule>
  </conditionalFormatting>
  <pageMargins left="0.75" right="0.75" top="1" bottom="1" header="0.511811023622047" footer="0.511811023622047"/>
  <pageSetup paperSize="9" scale="68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F0E9F-74CD-4472-8016-39E12128DD81}">
  <sheetPr>
    <pageSetUpPr fitToPage="1"/>
  </sheetPr>
  <dimension ref="A1:G44"/>
  <sheetViews>
    <sheetView topLeftCell="A13" zoomScaleNormal="100" workbookViewId="0">
      <selection activeCell="B31" sqref="B31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f t="shared" ref="A5:A36" si="0">ROW(A5)-4</f>
        <v>1</v>
      </c>
      <c r="B5" s="18" t="s">
        <v>193</v>
      </c>
      <c r="C5" s="17">
        <v>2</v>
      </c>
      <c r="D5" s="17" t="s">
        <v>194</v>
      </c>
      <c r="E5" s="17" t="s">
        <v>194</v>
      </c>
      <c r="F5" s="17"/>
      <c r="G5" s="26">
        <v>46104</v>
      </c>
    </row>
    <row r="6" spans="1:7" x14ac:dyDescent="0.45">
      <c r="A6" s="17">
        <f t="shared" si="0"/>
        <v>2</v>
      </c>
      <c r="B6" s="18" t="s">
        <v>196</v>
      </c>
      <c r="C6" s="17">
        <v>2</v>
      </c>
      <c r="D6" s="17" t="s">
        <v>149</v>
      </c>
      <c r="E6" s="17" t="s">
        <v>149</v>
      </c>
      <c r="F6" s="17"/>
      <c r="G6" s="26">
        <v>46090</v>
      </c>
    </row>
    <row r="7" spans="1:7" x14ac:dyDescent="0.45">
      <c r="A7" s="17">
        <f t="shared" si="0"/>
        <v>3</v>
      </c>
      <c r="B7" s="18" t="s">
        <v>199</v>
      </c>
      <c r="C7" s="17">
        <v>0.5</v>
      </c>
      <c r="D7" s="17" t="s">
        <v>194</v>
      </c>
      <c r="E7" s="17" t="s">
        <v>194</v>
      </c>
      <c r="F7" s="17"/>
      <c r="G7" s="26">
        <v>46104</v>
      </c>
    </row>
    <row r="8" spans="1:7" x14ac:dyDescent="0.45">
      <c r="A8" s="17">
        <f t="shared" si="0"/>
        <v>4</v>
      </c>
      <c r="B8" s="18" t="s">
        <v>192</v>
      </c>
      <c r="C8" s="17">
        <v>2</v>
      </c>
      <c r="D8" s="17" t="s">
        <v>149</v>
      </c>
      <c r="E8" s="17" t="s">
        <v>149</v>
      </c>
      <c r="F8" s="17"/>
      <c r="G8" s="26">
        <v>46083</v>
      </c>
    </row>
    <row r="9" spans="1:7" x14ac:dyDescent="0.45">
      <c r="A9" s="17">
        <f t="shared" si="0"/>
        <v>5</v>
      </c>
      <c r="B9" s="18" t="s">
        <v>164</v>
      </c>
      <c r="C9" s="17">
        <v>2</v>
      </c>
      <c r="D9" s="17" t="s">
        <v>149</v>
      </c>
      <c r="E9" s="17" t="s">
        <v>149</v>
      </c>
      <c r="F9" s="17"/>
      <c r="G9" s="26">
        <v>46094</v>
      </c>
    </row>
    <row r="10" spans="1:7" x14ac:dyDescent="0.45">
      <c r="A10" s="17">
        <f t="shared" si="0"/>
        <v>6</v>
      </c>
      <c r="B10" s="18" t="s">
        <v>173</v>
      </c>
      <c r="C10" s="17">
        <v>1</v>
      </c>
      <c r="D10" s="17" t="s">
        <v>194</v>
      </c>
      <c r="E10" s="17" t="s">
        <v>194</v>
      </c>
      <c r="F10" s="17"/>
      <c r="G10" s="26">
        <v>46097</v>
      </c>
    </row>
    <row r="11" spans="1:7" x14ac:dyDescent="0.45">
      <c r="A11" s="17">
        <f t="shared" si="0"/>
        <v>7</v>
      </c>
      <c r="B11" s="18" t="s">
        <v>165</v>
      </c>
      <c r="C11" s="17">
        <v>2</v>
      </c>
      <c r="D11" s="17" t="s">
        <v>149</v>
      </c>
      <c r="E11" s="17" t="s">
        <v>194</v>
      </c>
      <c r="F11" s="17"/>
      <c r="G11" s="26">
        <v>46093</v>
      </c>
    </row>
    <row r="12" spans="1:7" x14ac:dyDescent="0.45">
      <c r="A12" s="17">
        <f t="shared" si="0"/>
        <v>8</v>
      </c>
      <c r="B12" s="18" t="s">
        <v>200</v>
      </c>
      <c r="C12" s="17">
        <v>1</v>
      </c>
      <c r="D12" s="17" t="s">
        <v>157</v>
      </c>
      <c r="E12" s="17" t="s">
        <v>149</v>
      </c>
      <c r="F12" s="17" t="s">
        <v>158</v>
      </c>
      <c r="G12" s="26">
        <v>46097</v>
      </c>
    </row>
    <row r="13" spans="1:7" x14ac:dyDescent="0.45">
      <c r="A13" s="17">
        <f t="shared" si="0"/>
        <v>9</v>
      </c>
      <c r="B13" s="18" t="s">
        <v>198</v>
      </c>
      <c r="C13" s="17">
        <v>3</v>
      </c>
      <c r="D13" s="17" t="s">
        <v>160</v>
      </c>
      <c r="E13" s="17" t="s">
        <v>149</v>
      </c>
      <c r="F13" s="17"/>
      <c r="G13" s="26">
        <v>46094</v>
      </c>
    </row>
    <row r="14" spans="1:7" x14ac:dyDescent="0.45">
      <c r="A14" s="17">
        <f t="shared" si="0"/>
        <v>10</v>
      </c>
      <c r="B14" s="18" t="s">
        <v>201</v>
      </c>
      <c r="C14" s="17">
        <v>3</v>
      </c>
      <c r="D14" s="17" t="s">
        <v>149</v>
      </c>
      <c r="E14" s="17" t="s">
        <v>195</v>
      </c>
      <c r="F14" s="17"/>
      <c r="G14" s="26">
        <v>46094</v>
      </c>
    </row>
    <row r="15" spans="1:7" x14ac:dyDescent="0.45">
      <c r="A15" s="17">
        <f t="shared" si="0"/>
        <v>11</v>
      </c>
      <c r="B15" s="18" t="s">
        <v>167</v>
      </c>
      <c r="C15" s="17">
        <v>1</v>
      </c>
      <c r="D15" s="17" t="s">
        <v>149</v>
      </c>
      <c r="E15" s="17" t="s">
        <v>157</v>
      </c>
      <c r="F15" s="17"/>
      <c r="G15" s="26">
        <v>46097</v>
      </c>
    </row>
    <row r="16" spans="1:7" x14ac:dyDescent="0.45">
      <c r="A16" s="17">
        <f t="shared" si="0"/>
        <v>12</v>
      </c>
      <c r="B16" s="18" t="s">
        <v>168</v>
      </c>
      <c r="C16" s="17">
        <v>1</v>
      </c>
      <c r="D16" s="17" t="s">
        <v>149</v>
      </c>
      <c r="E16" s="17" t="s">
        <v>157</v>
      </c>
      <c r="F16" s="17"/>
      <c r="G16" s="26">
        <v>46097</v>
      </c>
    </row>
    <row r="17" spans="1:7" x14ac:dyDescent="0.45">
      <c r="A17" s="17">
        <f t="shared" si="0"/>
        <v>13</v>
      </c>
      <c r="B17" s="18" t="s">
        <v>128</v>
      </c>
      <c r="C17" s="17">
        <v>2</v>
      </c>
      <c r="D17" s="17" t="s">
        <v>149</v>
      </c>
      <c r="E17" s="17" t="s">
        <v>157</v>
      </c>
      <c r="F17" s="17"/>
      <c r="G17" s="26">
        <v>46083</v>
      </c>
    </row>
    <row r="18" spans="1:7" x14ac:dyDescent="0.45">
      <c r="A18" s="17">
        <f t="shared" si="0"/>
        <v>14</v>
      </c>
      <c r="B18" s="18" t="s">
        <v>170</v>
      </c>
      <c r="C18" s="17">
        <v>3</v>
      </c>
      <c r="D18" s="17" t="s">
        <v>149</v>
      </c>
      <c r="E18" s="17" t="s">
        <v>157</v>
      </c>
      <c r="F18" s="17"/>
      <c r="G18" s="26">
        <v>46083</v>
      </c>
    </row>
    <row r="19" spans="1:7" x14ac:dyDescent="0.45">
      <c r="A19" s="17">
        <f t="shared" si="0"/>
        <v>15</v>
      </c>
      <c r="B19" s="18" t="s">
        <v>171</v>
      </c>
      <c r="C19" s="17">
        <v>3</v>
      </c>
      <c r="D19" s="17" t="s">
        <v>149</v>
      </c>
      <c r="E19" s="17" t="s">
        <v>157</v>
      </c>
      <c r="F19" s="17"/>
      <c r="G19" s="26">
        <v>46083</v>
      </c>
    </row>
    <row r="20" spans="1:7" x14ac:dyDescent="0.45">
      <c r="A20" s="17">
        <f t="shared" si="0"/>
        <v>16</v>
      </c>
      <c r="B20" s="18" t="s">
        <v>124</v>
      </c>
      <c r="C20" s="17">
        <v>1</v>
      </c>
      <c r="D20" s="17" t="s">
        <v>149</v>
      </c>
      <c r="E20" s="17" t="s">
        <v>157</v>
      </c>
      <c r="F20" s="17" t="s">
        <v>158</v>
      </c>
      <c r="G20" s="26">
        <v>46083</v>
      </c>
    </row>
    <row r="21" spans="1:7" x14ac:dyDescent="0.45">
      <c r="A21" s="17">
        <f t="shared" si="0"/>
        <v>17</v>
      </c>
      <c r="B21" s="18" t="s">
        <v>172</v>
      </c>
      <c r="C21" s="17">
        <v>2</v>
      </c>
      <c r="D21" s="17" t="s">
        <v>149</v>
      </c>
      <c r="E21" s="17" t="s">
        <v>157</v>
      </c>
      <c r="F21" s="17"/>
      <c r="G21" s="26">
        <v>46083</v>
      </c>
    </row>
    <row r="22" spans="1:7" x14ac:dyDescent="0.45">
      <c r="A22" s="17">
        <f t="shared" si="0"/>
        <v>18</v>
      </c>
      <c r="B22" s="18" t="s">
        <v>131</v>
      </c>
      <c r="C22" s="17">
        <v>1</v>
      </c>
      <c r="D22" s="17" t="s">
        <v>195</v>
      </c>
      <c r="E22" s="17" t="s">
        <v>195</v>
      </c>
      <c r="F22" s="17"/>
      <c r="G22" s="26">
        <v>46083</v>
      </c>
    </row>
    <row r="23" spans="1:7" x14ac:dyDescent="0.45">
      <c r="A23" s="17">
        <f t="shared" si="0"/>
        <v>19</v>
      </c>
      <c r="B23" s="18" t="s">
        <v>197</v>
      </c>
      <c r="C23" s="17">
        <v>3</v>
      </c>
      <c r="D23" s="17" t="s">
        <v>195</v>
      </c>
      <c r="E23" s="17" t="s">
        <v>195</v>
      </c>
      <c r="F23" s="17"/>
      <c r="G23" s="26">
        <v>46104</v>
      </c>
    </row>
    <row r="24" spans="1:7" x14ac:dyDescent="0.45">
      <c r="A24" s="17">
        <f t="shared" si="0"/>
        <v>20</v>
      </c>
      <c r="B24" s="18" t="s">
        <v>138</v>
      </c>
      <c r="C24" s="17">
        <v>3</v>
      </c>
      <c r="D24" s="17" t="s">
        <v>157</v>
      </c>
      <c r="E24" s="17" t="s">
        <v>157</v>
      </c>
      <c r="F24" s="17"/>
      <c r="G24" s="26">
        <v>46077</v>
      </c>
    </row>
    <row r="25" spans="1:7" x14ac:dyDescent="0.45">
      <c r="A25" s="17">
        <f t="shared" si="0"/>
        <v>21</v>
      </c>
      <c r="B25" s="18" t="s">
        <v>175</v>
      </c>
      <c r="C25" s="17">
        <v>1</v>
      </c>
      <c r="D25" s="17" t="s">
        <v>157</v>
      </c>
      <c r="E25" s="17" t="s">
        <v>157</v>
      </c>
      <c r="F25" s="17"/>
      <c r="G25" s="26">
        <v>46097</v>
      </c>
    </row>
    <row r="26" spans="1:7" x14ac:dyDescent="0.45">
      <c r="A26" s="17">
        <f t="shared" si="0"/>
        <v>22</v>
      </c>
      <c r="B26" s="18" t="s">
        <v>176</v>
      </c>
      <c r="C26" s="17">
        <v>1</v>
      </c>
      <c r="D26" s="17" t="s">
        <v>160</v>
      </c>
      <c r="E26" s="17" t="s">
        <v>157</v>
      </c>
      <c r="F26" s="17"/>
      <c r="G26" s="26">
        <v>46056</v>
      </c>
    </row>
    <row r="27" spans="1:7" x14ac:dyDescent="0.45">
      <c r="A27" s="17">
        <f t="shared" si="0"/>
        <v>23</v>
      </c>
      <c r="B27" s="18" t="s">
        <v>178</v>
      </c>
      <c r="C27" s="17">
        <v>1</v>
      </c>
      <c r="D27" s="17" t="s">
        <v>160</v>
      </c>
      <c r="E27" s="17" t="s">
        <v>157</v>
      </c>
      <c r="F27" s="17"/>
      <c r="G27" s="26">
        <v>46097</v>
      </c>
    </row>
    <row r="28" spans="1:7" x14ac:dyDescent="0.45">
      <c r="A28" s="17">
        <f t="shared" si="0"/>
        <v>24</v>
      </c>
      <c r="B28" s="18" t="s">
        <v>179</v>
      </c>
      <c r="C28" s="17">
        <v>2</v>
      </c>
      <c r="D28" s="17" t="s">
        <v>149</v>
      </c>
      <c r="E28" s="17" t="s">
        <v>160</v>
      </c>
      <c r="F28" s="17" t="s">
        <v>158</v>
      </c>
      <c r="G28" s="26">
        <v>46097</v>
      </c>
    </row>
    <row r="29" spans="1:7" x14ac:dyDescent="0.45">
      <c r="A29" s="17">
        <f t="shared" si="0"/>
        <v>25</v>
      </c>
      <c r="B29" s="18" t="s">
        <v>180</v>
      </c>
      <c r="C29" s="17">
        <v>1</v>
      </c>
      <c r="D29" s="17" t="s">
        <v>149</v>
      </c>
      <c r="E29" s="17" t="s">
        <v>160</v>
      </c>
      <c r="F29" s="17" t="s">
        <v>158</v>
      </c>
      <c r="G29" s="26">
        <v>46080</v>
      </c>
    </row>
    <row r="30" spans="1:7" x14ac:dyDescent="0.45">
      <c r="A30" s="17">
        <f t="shared" si="0"/>
        <v>26</v>
      </c>
      <c r="B30" s="18" t="s">
        <v>126</v>
      </c>
      <c r="C30" s="17">
        <v>1</v>
      </c>
      <c r="D30" s="17" t="s">
        <v>149</v>
      </c>
      <c r="E30" s="17" t="s">
        <v>160</v>
      </c>
      <c r="F30" s="17"/>
      <c r="G30" s="26">
        <v>46083</v>
      </c>
    </row>
    <row r="31" spans="1:7" x14ac:dyDescent="0.45">
      <c r="A31" s="17">
        <f t="shared" si="0"/>
        <v>27</v>
      </c>
      <c r="B31" s="18" t="s">
        <v>182</v>
      </c>
      <c r="C31" s="17">
        <v>1</v>
      </c>
      <c r="D31" s="17" t="s">
        <v>149</v>
      </c>
      <c r="E31" s="17" t="s">
        <v>160</v>
      </c>
      <c r="F31" s="17"/>
      <c r="G31" s="26">
        <v>46078</v>
      </c>
    </row>
    <row r="32" spans="1:7" x14ac:dyDescent="0.45">
      <c r="A32" s="17">
        <f t="shared" si="0"/>
        <v>28</v>
      </c>
      <c r="B32" s="18" t="s">
        <v>187</v>
      </c>
      <c r="C32" s="17">
        <v>3</v>
      </c>
      <c r="D32" s="17" t="s">
        <v>149</v>
      </c>
      <c r="E32" s="17" t="s">
        <v>160</v>
      </c>
      <c r="F32" s="17" t="s">
        <v>158</v>
      </c>
      <c r="G32" s="26" t="s">
        <v>152</v>
      </c>
    </row>
    <row r="33" spans="1:7" x14ac:dyDescent="0.45">
      <c r="A33" s="17">
        <f t="shared" si="0"/>
        <v>29</v>
      </c>
      <c r="B33" s="18" t="s">
        <v>184</v>
      </c>
      <c r="C33" s="17">
        <v>0.5</v>
      </c>
      <c r="D33" s="17" t="s">
        <v>160</v>
      </c>
      <c r="E33" s="17" t="s">
        <v>160</v>
      </c>
      <c r="F33" s="17"/>
      <c r="G33" s="26">
        <v>46078</v>
      </c>
    </row>
    <row r="34" spans="1:7" x14ac:dyDescent="0.45">
      <c r="A34" s="17">
        <f t="shared" si="0"/>
        <v>30</v>
      </c>
      <c r="B34" s="18" t="s">
        <v>185</v>
      </c>
      <c r="C34" s="17">
        <v>1</v>
      </c>
      <c r="D34" s="17" t="s">
        <v>160</v>
      </c>
      <c r="E34" s="17" t="s">
        <v>160</v>
      </c>
      <c r="F34" s="17"/>
      <c r="G34" s="26">
        <v>46097</v>
      </c>
    </row>
    <row r="35" spans="1:7" x14ac:dyDescent="0.45">
      <c r="A35" s="17">
        <f t="shared" si="0"/>
        <v>31</v>
      </c>
      <c r="B35" s="18" t="s">
        <v>186</v>
      </c>
      <c r="C35" s="17">
        <v>0.5</v>
      </c>
      <c r="D35" s="17" t="s">
        <v>160</v>
      </c>
      <c r="E35" s="17" t="s">
        <v>160</v>
      </c>
      <c r="F35" s="17"/>
      <c r="G35" s="26">
        <v>46077</v>
      </c>
    </row>
    <row r="36" spans="1:7" ht="18.600000000000001" thickBot="1" x14ac:dyDescent="0.5">
      <c r="A36" s="19">
        <f t="shared" si="0"/>
        <v>32</v>
      </c>
      <c r="B36" s="20"/>
      <c r="C36" s="19"/>
      <c r="D36" s="19"/>
      <c r="E36" s="19"/>
      <c r="F36" s="19"/>
      <c r="G36" s="27"/>
    </row>
    <row r="37" spans="1:7" ht="18.600000000000001" thickTop="1" x14ac:dyDescent="0.45">
      <c r="B37" s="21" t="s">
        <v>188</v>
      </c>
      <c r="C37" s="22">
        <f>SUM(C5:C36)</f>
        <v>51.5</v>
      </c>
    </row>
    <row r="38" spans="1:7" x14ac:dyDescent="0.45">
      <c r="B38" s="23"/>
    </row>
    <row r="39" spans="1:7" x14ac:dyDescent="0.45">
      <c r="E39" s="22" t="s">
        <v>145</v>
      </c>
    </row>
    <row r="40" spans="1:7" x14ac:dyDescent="0.45">
      <c r="C40" s="24"/>
      <c r="D40" s="25" t="s">
        <v>149</v>
      </c>
      <c r="E40" s="25" t="s">
        <v>157</v>
      </c>
      <c r="F40" s="25" t="s">
        <v>160</v>
      </c>
      <c r="G40" s="25" t="s">
        <v>188</v>
      </c>
    </row>
    <row r="41" spans="1:7" x14ac:dyDescent="0.45">
      <c r="B41" s="21" t="s">
        <v>189</v>
      </c>
      <c r="C41" s="25" t="s">
        <v>149</v>
      </c>
      <c r="D41" s="17">
        <f>SUMIFS($C$5:$C$36,$D$5:$D$36,D$40,$E$5:$E$36,$C41)</f>
        <v>11.5</v>
      </c>
      <c r="E41" s="17">
        <f>SUMIFS($C$5:$C$36,$D$5:$D$36,E$40,$E$5:$E$36,$C41)</f>
        <v>1</v>
      </c>
      <c r="F41" s="17">
        <f>SUMIFS($C$5:$C$36,$D$5:$D$36,F$40,$E$5:$E$36,$C41)</f>
        <v>3</v>
      </c>
      <c r="G41" s="17">
        <f>SUM(D41:F41)</f>
        <v>15.5</v>
      </c>
    </row>
    <row r="42" spans="1:7" x14ac:dyDescent="0.45">
      <c r="B42" s="21" t="s">
        <v>190</v>
      </c>
      <c r="C42" s="25" t="s">
        <v>157</v>
      </c>
      <c r="D42" s="17">
        <f t="shared" ref="D42:F43" si="1">SUMIFS($C$5:$C$36,$D$5:$D$36,D$40,$E$5:$E$36,$C42)</f>
        <v>16</v>
      </c>
      <c r="E42" s="17">
        <f t="shared" si="1"/>
        <v>8</v>
      </c>
      <c r="F42" s="17">
        <f t="shared" si="1"/>
        <v>2</v>
      </c>
      <c r="G42" s="17">
        <f>SUM(D42:F42)</f>
        <v>26</v>
      </c>
    </row>
    <row r="43" spans="1:7" x14ac:dyDescent="0.45">
      <c r="B43" s="21" t="s">
        <v>191</v>
      </c>
      <c r="C43" s="25" t="s">
        <v>160</v>
      </c>
      <c r="D43" s="17">
        <f t="shared" si="1"/>
        <v>8</v>
      </c>
      <c r="E43" s="17">
        <f t="shared" si="1"/>
        <v>0</v>
      </c>
      <c r="F43" s="17">
        <f t="shared" si="1"/>
        <v>2</v>
      </c>
      <c r="G43" s="17">
        <f>SUM(D43:F43)</f>
        <v>10</v>
      </c>
    </row>
    <row r="44" spans="1:7" x14ac:dyDescent="0.45">
      <c r="C44" s="25" t="s">
        <v>188</v>
      </c>
      <c r="D44" s="25">
        <f>SUM(D41:D43)</f>
        <v>35.5</v>
      </c>
      <c r="E44" s="25">
        <f>SUM(E41:E43)</f>
        <v>9</v>
      </c>
      <c r="F44" s="25">
        <f>SUM(F41:F43)</f>
        <v>7</v>
      </c>
      <c r="G44" s="25">
        <f>SUM(G41:G43)</f>
        <v>51.5</v>
      </c>
    </row>
  </sheetData>
  <autoFilter ref="A4:G37" xr:uid="{540F0E9F-74CD-4472-8016-39E12128DD81}">
    <sortState xmlns:xlrd2="http://schemas.microsoft.com/office/spreadsheetml/2017/richdata2" ref="A5:G37">
      <sortCondition ref="E4:E37"/>
    </sortState>
  </autoFilter>
  <phoneticPr fontId="1"/>
  <conditionalFormatting sqref="D41:F43">
    <cfRule type="colorScale" priority="4">
      <colorScale>
        <cfvo type="min"/>
        <cfvo type="max"/>
        <color rgb="FFFCFCFF"/>
        <color rgb="FF63BE7B"/>
      </colorScale>
    </cfRule>
  </conditionalFormatting>
  <conditionalFormatting sqref="D5:E36">
    <cfRule type="containsText" dxfId="41" priority="1" operator="containsText" text="低">
      <formula>NOT(ISERROR(SEARCH("低",D5)))</formula>
    </cfRule>
    <cfRule type="containsText" dxfId="40" priority="2" operator="containsText" text="中">
      <formula>NOT(ISERROR(SEARCH("中",D5)))</formula>
    </cfRule>
    <cfRule type="containsText" dxfId="39" priority="3" operator="containsText" text="高">
      <formula>NOT(ISERROR(SEARCH("高",D5)))</formula>
    </cfRule>
  </conditionalFormatting>
  <pageMargins left="0.75" right="0.75" top="1" bottom="1" header="0.511811023622047" footer="0.511811023622047"/>
  <pageSetup paperSize="9" scale="73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B369-0468-4FF0-B03F-9032E5FD3233}">
  <dimension ref="A1:G44"/>
  <sheetViews>
    <sheetView topLeftCell="A28" zoomScaleNormal="100" workbookViewId="0">
      <selection activeCell="C33" sqref="C33:C34"/>
    </sheetView>
  </sheetViews>
  <sheetFormatPr defaultColWidth="7.796875" defaultRowHeight="18" x14ac:dyDescent="0.45"/>
  <cols>
    <col min="1" max="1" width="4.5" style="15" customWidth="1"/>
    <col min="2" max="2" width="49.5" style="15" customWidth="1"/>
    <col min="3" max="3" width="9" style="15" bestFit="1" customWidth="1"/>
    <col min="4" max="6" width="10.19921875" style="15" customWidth="1"/>
    <col min="7" max="7" width="12.59765625" style="15" customWidth="1"/>
    <col min="8" max="16384" width="7.796875" style="15"/>
  </cols>
  <sheetData>
    <row r="1" spans="1:7" x14ac:dyDescent="0.45">
      <c r="A1" s="14" t="s">
        <v>143</v>
      </c>
    </row>
    <row r="2" spans="1:7" x14ac:dyDescent="0.45">
      <c r="A2" s="14" t="s">
        <v>144</v>
      </c>
    </row>
    <row r="4" spans="1:7" x14ac:dyDescent="0.45">
      <c r="A4" s="16" t="s">
        <v>88</v>
      </c>
      <c r="B4" s="16" t="s">
        <v>4</v>
      </c>
      <c r="C4" s="16" t="s">
        <v>5</v>
      </c>
      <c r="D4" s="16" t="s">
        <v>145</v>
      </c>
      <c r="E4" s="16" t="s">
        <v>146</v>
      </c>
      <c r="F4" s="16" t="s">
        <v>147</v>
      </c>
      <c r="G4" s="16" t="s">
        <v>89</v>
      </c>
    </row>
    <row r="5" spans="1:7" x14ac:dyDescent="0.45">
      <c r="A5" s="17">
        <v>1</v>
      </c>
      <c r="B5" s="18" t="s">
        <v>148</v>
      </c>
      <c r="C5" s="17">
        <v>2</v>
      </c>
      <c r="D5" s="17" t="s">
        <v>149</v>
      </c>
      <c r="E5" s="17" t="s">
        <v>149</v>
      </c>
      <c r="F5" s="17"/>
      <c r="G5" s="17" t="s">
        <v>150</v>
      </c>
    </row>
    <row r="6" spans="1:7" x14ac:dyDescent="0.45">
      <c r="A6" s="17">
        <v>2</v>
      </c>
      <c r="B6" s="18" t="s">
        <v>151</v>
      </c>
      <c r="C6" s="17">
        <v>3</v>
      </c>
      <c r="D6" s="17" t="s">
        <v>149</v>
      </c>
      <c r="E6" s="17" t="s">
        <v>149</v>
      </c>
      <c r="F6" s="17"/>
      <c r="G6" s="17" t="s">
        <v>152</v>
      </c>
    </row>
    <row r="7" spans="1:7" x14ac:dyDescent="0.45">
      <c r="A7" s="17">
        <v>3</v>
      </c>
      <c r="B7" s="18" t="s">
        <v>153</v>
      </c>
      <c r="C7" s="17">
        <v>2</v>
      </c>
      <c r="D7" s="17" t="s">
        <v>149</v>
      </c>
      <c r="E7" s="17" t="s">
        <v>149</v>
      </c>
      <c r="F7" s="17"/>
      <c r="G7" s="17" t="s">
        <v>152</v>
      </c>
    </row>
    <row r="8" spans="1:7" x14ac:dyDescent="0.45">
      <c r="A8" s="17">
        <v>4</v>
      </c>
      <c r="B8" s="18" t="s">
        <v>154</v>
      </c>
      <c r="C8" s="17">
        <v>3</v>
      </c>
      <c r="D8" s="17" t="s">
        <v>149</v>
      </c>
      <c r="E8" s="17" t="s">
        <v>149</v>
      </c>
      <c r="F8" s="17"/>
      <c r="G8" s="17" t="s">
        <v>155</v>
      </c>
    </row>
    <row r="9" spans="1:7" x14ac:dyDescent="0.45">
      <c r="A9" s="17">
        <v>5</v>
      </c>
      <c r="B9" s="18" t="s">
        <v>156</v>
      </c>
      <c r="C9" s="17">
        <v>2</v>
      </c>
      <c r="D9" s="17" t="s">
        <v>157</v>
      </c>
      <c r="E9" s="17" t="s">
        <v>149</v>
      </c>
      <c r="F9" s="17" t="s">
        <v>158</v>
      </c>
      <c r="G9" s="17" t="s">
        <v>150</v>
      </c>
    </row>
    <row r="10" spans="1:7" x14ac:dyDescent="0.45">
      <c r="A10" s="17">
        <v>6</v>
      </c>
      <c r="B10" s="18" t="s">
        <v>159</v>
      </c>
      <c r="C10" s="17">
        <v>1</v>
      </c>
      <c r="D10" s="17" t="s">
        <v>160</v>
      </c>
      <c r="E10" s="17" t="s">
        <v>149</v>
      </c>
      <c r="F10" s="17"/>
      <c r="G10" s="17" t="s">
        <v>150</v>
      </c>
    </row>
    <row r="11" spans="1:7" x14ac:dyDescent="0.45">
      <c r="A11" s="17">
        <v>7</v>
      </c>
      <c r="B11" s="18" t="s">
        <v>161</v>
      </c>
      <c r="C11" s="17">
        <v>3</v>
      </c>
      <c r="D11" s="17" t="s">
        <v>160</v>
      </c>
      <c r="E11" s="17" t="s">
        <v>149</v>
      </c>
      <c r="F11" s="17"/>
      <c r="G11" s="17" t="s">
        <v>155</v>
      </c>
    </row>
    <row r="12" spans="1:7" x14ac:dyDescent="0.45">
      <c r="A12" s="17">
        <v>8</v>
      </c>
      <c r="B12" s="18" t="s">
        <v>162</v>
      </c>
      <c r="C12" s="17">
        <v>2</v>
      </c>
      <c r="D12" s="17" t="s">
        <v>149</v>
      </c>
      <c r="E12" s="17" t="s">
        <v>157</v>
      </c>
      <c r="F12" s="17"/>
      <c r="G12" s="17" t="s">
        <v>163</v>
      </c>
    </row>
    <row r="13" spans="1:7" x14ac:dyDescent="0.45">
      <c r="A13" s="17">
        <v>9</v>
      </c>
      <c r="B13" s="18" t="s">
        <v>164</v>
      </c>
      <c r="C13" s="17">
        <v>2</v>
      </c>
      <c r="D13" s="17" t="s">
        <v>149</v>
      </c>
      <c r="E13" s="17" t="s">
        <v>157</v>
      </c>
      <c r="F13" s="17"/>
      <c r="G13" s="17" t="s">
        <v>155</v>
      </c>
    </row>
    <row r="14" spans="1:7" x14ac:dyDescent="0.45">
      <c r="A14" s="17">
        <v>10</v>
      </c>
      <c r="B14" s="18" t="s">
        <v>165</v>
      </c>
      <c r="C14" s="17">
        <v>2</v>
      </c>
      <c r="D14" s="17" t="s">
        <v>149</v>
      </c>
      <c r="E14" s="17" t="s">
        <v>157</v>
      </c>
      <c r="F14" s="17"/>
      <c r="G14" s="17" t="s">
        <v>166</v>
      </c>
    </row>
    <row r="15" spans="1:7" x14ac:dyDescent="0.45">
      <c r="A15" s="17">
        <v>11</v>
      </c>
      <c r="B15" s="18" t="s">
        <v>167</v>
      </c>
      <c r="C15" s="17">
        <v>1</v>
      </c>
      <c r="D15" s="17" t="s">
        <v>149</v>
      </c>
      <c r="E15" s="17" t="s">
        <v>157</v>
      </c>
      <c r="F15" s="17"/>
      <c r="G15" s="17" t="s">
        <v>150</v>
      </c>
    </row>
    <row r="16" spans="1:7" x14ac:dyDescent="0.45">
      <c r="A16" s="17">
        <v>12</v>
      </c>
      <c r="B16" s="18" t="s">
        <v>168</v>
      </c>
      <c r="C16" s="17">
        <v>1</v>
      </c>
      <c r="D16" s="17" t="s">
        <v>149</v>
      </c>
      <c r="E16" s="17" t="s">
        <v>157</v>
      </c>
      <c r="F16" s="17"/>
      <c r="G16" s="17" t="s">
        <v>150</v>
      </c>
    </row>
    <row r="17" spans="1:7" x14ac:dyDescent="0.45">
      <c r="A17" s="17">
        <v>13</v>
      </c>
      <c r="B17" s="18" t="s">
        <v>169</v>
      </c>
      <c r="C17" s="17">
        <v>1</v>
      </c>
      <c r="D17" s="17" t="s">
        <v>149</v>
      </c>
      <c r="E17" s="17" t="s">
        <v>157</v>
      </c>
      <c r="F17" s="17"/>
      <c r="G17" s="17" t="s">
        <v>150</v>
      </c>
    </row>
    <row r="18" spans="1:7" x14ac:dyDescent="0.45">
      <c r="A18" s="17">
        <v>14</v>
      </c>
      <c r="B18" s="18" t="s">
        <v>128</v>
      </c>
      <c r="C18" s="17">
        <v>2</v>
      </c>
      <c r="D18" s="17" t="s">
        <v>149</v>
      </c>
      <c r="E18" s="17" t="s">
        <v>157</v>
      </c>
      <c r="F18" s="17"/>
      <c r="G18" s="17" t="s">
        <v>163</v>
      </c>
    </row>
    <row r="19" spans="1:7" x14ac:dyDescent="0.45">
      <c r="A19" s="17">
        <v>15</v>
      </c>
      <c r="B19" s="18" t="s">
        <v>170</v>
      </c>
      <c r="C19" s="17">
        <v>3</v>
      </c>
      <c r="D19" s="17" t="s">
        <v>149</v>
      </c>
      <c r="E19" s="17" t="s">
        <v>157</v>
      </c>
      <c r="F19" s="17"/>
      <c r="G19" s="17" t="s">
        <v>163</v>
      </c>
    </row>
    <row r="20" spans="1:7" x14ac:dyDescent="0.45">
      <c r="A20" s="17">
        <v>16</v>
      </c>
      <c r="B20" s="18" t="s">
        <v>171</v>
      </c>
      <c r="C20" s="17">
        <v>3</v>
      </c>
      <c r="D20" s="17" t="s">
        <v>149</v>
      </c>
      <c r="E20" s="17" t="s">
        <v>157</v>
      </c>
      <c r="F20" s="17"/>
      <c r="G20" s="17" t="s">
        <v>163</v>
      </c>
    </row>
    <row r="21" spans="1:7" x14ac:dyDescent="0.45">
      <c r="A21" s="17">
        <v>17</v>
      </c>
      <c r="B21" s="18" t="s">
        <v>124</v>
      </c>
      <c r="C21" s="17">
        <v>1</v>
      </c>
      <c r="D21" s="17" t="s">
        <v>149</v>
      </c>
      <c r="E21" s="17" t="s">
        <v>157</v>
      </c>
      <c r="F21" s="17" t="s">
        <v>158</v>
      </c>
      <c r="G21" s="17" t="s">
        <v>163</v>
      </c>
    </row>
    <row r="22" spans="1:7" x14ac:dyDescent="0.45">
      <c r="A22" s="17">
        <v>18</v>
      </c>
      <c r="B22" s="18" t="s">
        <v>172</v>
      </c>
      <c r="C22" s="17">
        <v>2</v>
      </c>
      <c r="D22" s="17" t="s">
        <v>149</v>
      </c>
      <c r="E22" s="17" t="s">
        <v>157</v>
      </c>
      <c r="F22" s="17"/>
      <c r="G22" s="17" t="s">
        <v>163</v>
      </c>
    </row>
    <row r="23" spans="1:7" x14ac:dyDescent="0.45">
      <c r="A23" s="17">
        <v>19</v>
      </c>
      <c r="B23" s="18" t="s">
        <v>173</v>
      </c>
      <c r="C23" s="17">
        <v>1</v>
      </c>
      <c r="D23" s="17" t="s">
        <v>149</v>
      </c>
      <c r="E23" s="17" t="s">
        <v>157</v>
      </c>
      <c r="F23" s="17"/>
      <c r="G23" s="17" t="s">
        <v>150</v>
      </c>
    </row>
    <row r="24" spans="1:7" x14ac:dyDescent="0.45">
      <c r="A24" s="17">
        <v>20</v>
      </c>
      <c r="B24" s="18" t="s">
        <v>138</v>
      </c>
      <c r="C24" s="17">
        <v>3</v>
      </c>
      <c r="D24" s="17" t="s">
        <v>157</v>
      </c>
      <c r="E24" s="17" t="s">
        <v>157</v>
      </c>
      <c r="F24" s="17"/>
      <c r="G24" s="17" t="s">
        <v>174</v>
      </c>
    </row>
    <row r="25" spans="1:7" x14ac:dyDescent="0.45">
      <c r="A25" s="17">
        <v>21</v>
      </c>
      <c r="B25" s="18" t="s">
        <v>175</v>
      </c>
      <c r="C25" s="17">
        <v>1</v>
      </c>
      <c r="D25" s="17" t="s">
        <v>157</v>
      </c>
      <c r="E25" s="17" t="s">
        <v>157</v>
      </c>
      <c r="F25" s="17"/>
      <c r="G25" s="17" t="s">
        <v>150</v>
      </c>
    </row>
    <row r="26" spans="1:7" x14ac:dyDescent="0.45">
      <c r="A26" s="17">
        <v>22</v>
      </c>
      <c r="B26" s="18" t="s">
        <v>131</v>
      </c>
      <c r="C26" s="17">
        <v>1</v>
      </c>
      <c r="D26" s="17" t="s">
        <v>160</v>
      </c>
      <c r="E26" s="17" t="s">
        <v>157</v>
      </c>
      <c r="F26" s="17"/>
      <c r="G26" s="17" t="s">
        <v>163</v>
      </c>
    </row>
    <row r="27" spans="1:7" x14ac:dyDescent="0.45">
      <c r="A27" s="17">
        <v>23</v>
      </c>
      <c r="B27" s="18" t="s">
        <v>176</v>
      </c>
      <c r="C27" s="17">
        <v>1</v>
      </c>
      <c r="D27" s="17" t="s">
        <v>160</v>
      </c>
      <c r="E27" s="17" t="s">
        <v>157</v>
      </c>
      <c r="F27" s="17"/>
      <c r="G27" s="17" t="s">
        <v>177</v>
      </c>
    </row>
    <row r="28" spans="1:7" x14ac:dyDescent="0.45">
      <c r="A28" s="17">
        <v>24</v>
      </c>
      <c r="B28" s="18" t="s">
        <v>178</v>
      </c>
      <c r="C28" s="17">
        <v>1</v>
      </c>
      <c r="D28" s="17" t="s">
        <v>160</v>
      </c>
      <c r="E28" s="17" t="s">
        <v>157</v>
      </c>
      <c r="F28" s="17"/>
      <c r="G28" s="17" t="s">
        <v>150</v>
      </c>
    </row>
    <row r="29" spans="1:7" x14ac:dyDescent="0.45">
      <c r="A29" s="17">
        <v>25</v>
      </c>
      <c r="B29" s="18" t="s">
        <v>179</v>
      </c>
      <c r="C29" s="17">
        <v>2</v>
      </c>
      <c r="D29" s="17" t="s">
        <v>149</v>
      </c>
      <c r="E29" s="17" t="s">
        <v>160</v>
      </c>
      <c r="F29" s="17" t="s">
        <v>158</v>
      </c>
      <c r="G29" s="17"/>
    </row>
    <row r="30" spans="1:7" x14ac:dyDescent="0.45">
      <c r="A30" s="17">
        <v>26</v>
      </c>
      <c r="B30" s="18" t="s">
        <v>180</v>
      </c>
      <c r="C30" s="17">
        <v>1</v>
      </c>
      <c r="D30" s="17" t="s">
        <v>149</v>
      </c>
      <c r="E30" s="17" t="s">
        <v>160</v>
      </c>
      <c r="F30" s="17" t="s">
        <v>158</v>
      </c>
      <c r="G30" s="17" t="s">
        <v>181</v>
      </c>
    </row>
    <row r="31" spans="1:7" x14ac:dyDescent="0.45">
      <c r="A31" s="17">
        <v>27</v>
      </c>
      <c r="B31" s="18" t="s">
        <v>126</v>
      </c>
      <c r="C31" s="17">
        <v>1</v>
      </c>
      <c r="D31" s="17" t="s">
        <v>149</v>
      </c>
      <c r="E31" s="17" t="s">
        <v>160</v>
      </c>
      <c r="F31" s="17"/>
      <c r="G31" s="17" t="s">
        <v>163</v>
      </c>
    </row>
    <row r="32" spans="1:7" x14ac:dyDescent="0.45">
      <c r="A32" s="17">
        <v>28</v>
      </c>
      <c r="B32" s="18" t="s">
        <v>182</v>
      </c>
      <c r="C32" s="17">
        <v>1</v>
      </c>
      <c r="D32" s="17" t="s">
        <v>149</v>
      </c>
      <c r="E32" s="17" t="s">
        <v>160</v>
      </c>
      <c r="F32" s="17"/>
      <c r="G32" s="17" t="s">
        <v>183</v>
      </c>
    </row>
    <row r="33" spans="1:7" x14ac:dyDescent="0.45">
      <c r="A33" s="17">
        <v>29</v>
      </c>
      <c r="B33" s="18" t="s">
        <v>184</v>
      </c>
      <c r="C33" s="17">
        <v>0.5</v>
      </c>
      <c r="D33" s="17" t="s">
        <v>160</v>
      </c>
      <c r="E33" s="17" t="s">
        <v>160</v>
      </c>
      <c r="F33" s="17"/>
      <c r="G33" s="17" t="s">
        <v>183</v>
      </c>
    </row>
    <row r="34" spans="1:7" x14ac:dyDescent="0.45">
      <c r="A34" s="17">
        <v>30</v>
      </c>
      <c r="B34" s="18" t="s">
        <v>185</v>
      </c>
      <c r="C34" s="17">
        <v>1</v>
      </c>
      <c r="D34" s="17" t="s">
        <v>160</v>
      </c>
      <c r="E34" s="17" t="s">
        <v>160</v>
      </c>
      <c r="F34" s="17"/>
      <c r="G34" s="17" t="s">
        <v>150</v>
      </c>
    </row>
    <row r="35" spans="1:7" x14ac:dyDescent="0.45">
      <c r="A35" s="17">
        <v>31</v>
      </c>
      <c r="B35" s="18" t="s">
        <v>186</v>
      </c>
      <c r="C35" s="17">
        <v>0.5</v>
      </c>
      <c r="D35" s="17" t="s">
        <v>160</v>
      </c>
      <c r="E35" s="17" t="s">
        <v>160</v>
      </c>
      <c r="F35" s="17"/>
      <c r="G35" s="17" t="s">
        <v>174</v>
      </c>
    </row>
    <row r="36" spans="1:7" ht="18.600000000000001" thickBot="1" x14ac:dyDescent="0.5">
      <c r="A36" s="19">
        <v>32</v>
      </c>
      <c r="B36" s="20" t="s">
        <v>187</v>
      </c>
      <c r="C36" s="19">
        <v>3</v>
      </c>
      <c r="D36" s="19" t="s">
        <v>149</v>
      </c>
      <c r="E36" s="19" t="s">
        <v>160</v>
      </c>
      <c r="F36" s="19" t="s">
        <v>158</v>
      </c>
      <c r="G36" s="19" t="s">
        <v>152</v>
      </c>
    </row>
    <row r="37" spans="1:7" ht="18.600000000000001" thickTop="1" x14ac:dyDescent="0.45">
      <c r="B37" s="21" t="s">
        <v>188</v>
      </c>
      <c r="C37" s="22">
        <f>SUM(C5:C36)</f>
        <v>54</v>
      </c>
    </row>
    <row r="38" spans="1:7" x14ac:dyDescent="0.45">
      <c r="B38" s="23"/>
    </row>
    <row r="39" spans="1:7" x14ac:dyDescent="0.45">
      <c r="E39" s="22" t="s">
        <v>145</v>
      </c>
    </row>
    <row r="40" spans="1:7" x14ac:dyDescent="0.45">
      <c r="C40" s="24"/>
      <c r="D40" s="25" t="s">
        <v>149</v>
      </c>
      <c r="E40" s="25" t="s">
        <v>157</v>
      </c>
      <c r="F40" s="25" t="s">
        <v>160</v>
      </c>
      <c r="G40" s="25" t="s">
        <v>188</v>
      </c>
    </row>
    <row r="41" spans="1:7" x14ac:dyDescent="0.45">
      <c r="B41" s="21" t="s">
        <v>189</v>
      </c>
      <c r="C41" s="25" t="s">
        <v>149</v>
      </c>
      <c r="D41" s="17">
        <v>10</v>
      </c>
      <c r="E41" s="17">
        <v>2</v>
      </c>
      <c r="F41" s="17">
        <v>4</v>
      </c>
      <c r="G41" s="17">
        <v>16</v>
      </c>
    </row>
    <row r="42" spans="1:7" x14ac:dyDescent="0.45">
      <c r="B42" s="21" t="s">
        <v>190</v>
      </c>
      <c r="C42" s="25" t="s">
        <v>157</v>
      </c>
      <c r="D42" s="17">
        <v>21</v>
      </c>
      <c r="E42" s="17">
        <v>4</v>
      </c>
      <c r="F42" s="17">
        <v>3</v>
      </c>
      <c r="G42" s="17">
        <v>28</v>
      </c>
    </row>
    <row r="43" spans="1:7" x14ac:dyDescent="0.45">
      <c r="B43" s="21" t="s">
        <v>191</v>
      </c>
      <c r="C43" s="25" t="s">
        <v>160</v>
      </c>
      <c r="D43" s="17">
        <v>8</v>
      </c>
      <c r="E43" s="17">
        <v>0</v>
      </c>
      <c r="F43" s="17">
        <v>2</v>
      </c>
      <c r="G43" s="17">
        <v>10</v>
      </c>
    </row>
    <row r="44" spans="1:7" x14ac:dyDescent="0.45">
      <c r="C44" s="25" t="s">
        <v>188</v>
      </c>
      <c r="D44" s="25">
        <v>39</v>
      </c>
      <c r="E44" s="25">
        <v>6</v>
      </c>
      <c r="F44" s="25">
        <v>9</v>
      </c>
      <c r="G44" s="25">
        <v>54</v>
      </c>
    </row>
  </sheetData>
  <phoneticPr fontId="1"/>
  <conditionalFormatting sqref="D41:F43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62B1A-F850-46C7-9615-4E5D2CB60414}">
  <sheetPr>
    <pageSetUpPr fitToPage="1"/>
  </sheetPr>
  <dimension ref="A2:H55"/>
  <sheetViews>
    <sheetView view="pageBreakPreview" topLeftCell="E1" zoomScale="121" zoomScaleNormal="100" workbookViewId="0">
      <selection activeCell="F6" sqref="F6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3.3984375" bestFit="1" customWidth="1"/>
    <col min="6" max="6" width="74.09765625" bestFit="1" customWidth="1"/>
    <col min="7" max="7" width="8.59765625" bestFit="1" customWidth="1"/>
    <col min="8" max="8" width="12.3984375" bestFit="1" customWidth="1"/>
  </cols>
  <sheetData>
    <row r="2" spans="1:8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88</v>
      </c>
      <c r="F2" s="1" t="s">
        <v>4</v>
      </c>
      <c r="G2" s="6" t="s">
        <v>5</v>
      </c>
      <c r="H2" s="8" t="s">
        <v>89</v>
      </c>
    </row>
    <row r="3" spans="1:8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1" t="s">
        <v>142</v>
      </c>
      <c r="G3" s="13">
        <v>3</v>
      </c>
      <c r="H3" s="11">
        <v>46090</v>
      </c>
    </row>
    <row r="4" spans="1:8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1" t="s">
        <v>141</v>
      </c>
      <c r="G4" s="6">
        <v>2</v>
      </c>
      <c r="H4" s="11">
        <v>46090</v>
      </c>
    </row>
    <row r="5" spans="1:8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1" t="s">
        <v>140</v>
      </c>
      <c r="G5" s="6">
        <v>3</v>
      </c>
      <c r="H5" s="11">
        <v>46090</v>
      </c>
    </row>
    <row r="6" spans="1:8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1" t="s">
        <v>127</v>
      </c>
      <c r="G6" s="13">
        <v>3</v>
      </c>
      <c r="H6" s="11">
        <v>46083</v>
      </c>
    </row>
    <row r="7" spans="1:8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1" t="s">
        <v>132</v>
      </c>
      <c r="G7" s="13">
        <v>2</v>
      </c>
      <c r="H7" s="11">
        <v>46083</v>
      </c>
    </row>
    <row r="8" spans="1:8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1" t="s">
        <v>125</v>
      </c>
      <c r="G8" s="13">
        <v>2</v>
      </c>
      <c r="H8" s="11">
        <v>46083</v>
      </c>
    </row>
    <row r="9" spans="1:8" x14ac:dyDescent="0.45">
      <c r="A9" s="3"/>
      <c r="B9" s="1"/>
      <c r="C9" s="4"/>
      <c r="D9" s="4"/>
      <c r="E9" s="2">
        <v>7</v>
      </c>
      <c r="F9" s="1" t="s">
        <v>129</v>
      </c>
      <c r="G9" s="13">
        <v>0.5</v>
      </c>
      <c r="H9" s="11">
        <v>46083</v>
      </c>
    </row>
    <row r="10" spans="1:8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1" t="s">
        <v>130</v>
      </c>
      <c r="G10" s="13">
        <v>0.5</v>
      </c>
      <c r="H10" s="11">
        <v>46083</v>
      </c>
    </row>
    <row r="11" spans="1:8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1" t="s">
        <v>136</v>
      </c>
      <c r="G11" s="13">
        <v>1</v>
      </c>
      <c r="H11" s="11">
        <v>46078</v>
      </c>
    </row>
    <row r="12" spans="1:8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1" t="s">
        <v>139</v>
      </c>
      <c r="G12" s="13">
        <v>0.5</v>
      </c>
      <c r="H12" s="11">
        <v>46078</v>
      </c>
    </row>
    <row r="13" spans="1:8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t="s">
        <v>138</v>
      </c>
      <c r="G13" s="13">
        <v>3</v>
      </c>
      <c r="H13" s="11">
        <v>46077</v>
      </c>
    </row>
    <row r="14" spans="1:8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1" t="s">
        <v>131</v>
      </c>
      <c r="G14" s="13">
        <v>1</v>
      </c>
      <c r="H14" s="11">
        <v>46083</v>
      </c>
    </row>
    <row r="15" spans="1:8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1" t="s">
        <v>128</v>
      </c>
      <c r="G15" s="13">
        <v>2</v>
      </c>
      <c r="H15" s="11">
        <v>46083</v>
      </c>
    </row>
    <row r="16" spans="1:8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1" t="s">
        <v>133</v>
      </c>
      <c r="G16" s="13">
        <v>3</v>
      </c>
      <c r="H16" s="11">
        <v>46083</v>
      </c>
    </row>
    <row r="17" spans="1:8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1" t="s">
        <v>134</v>
      </c>
      <c r="G17" s="13">
        <v>3</v>
      </c>
      <c r="H17" s="11">
        <v>46083</v>
      </c>
    </row>
    <row r="18" spans="1:8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1" t="s">
        <v>123</v>
      </c>
      <c r="G18" s="13">
        <v>1</v>
      </c>
      <c r="H18" s="11">
        <v>46080</v>
      </c>
    </row>
    <row r="19" spans="1:8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1" t="s">
        <v>124</v>
      </c>
      <c r="G19" s="13">
        <v>1</v>
      </c>
      <c r="H19" s="11">
        <v>46083</v>
      </c>
    </row>
    <row r="20" spans="1:8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1" t="s">
        <v>126</v>
      </c>
      <c r="G20" s="13">
        <v>1</v>
      </c>
      <c r="H20" s="11">
        <v>46083</v>
      </c>
    </row>
    <row r="21" spans="1:8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1" t="s">
        <v>135</v>
      </c>
      <c r="G21" s="6">
        <v>1</v>
      </c>
      <c r="H21" s="10">
        <v>46056</v>
      </c>
    </row>
    <row r="22" spans="1:8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1" t="s">
        <v>137</v>
      </c>
      <c r="G22" s="13">
        <v>0.5</v>
      </c>
      <c r="H22" s="11">
        <v>46077</v>
      </c>
    </row>
    <row r="23" spans="1:8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95</v>
      </c>
      <c r="G23" s="7">
        <v>2</v>
      </c>
      <c r="H23" s="11">
        <v>45985</v>
      </c>
    </row>
    <row r="24" spans="1:8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96</v>
      </c>
      <c r="G24" s="7">
        <v>2</v>
      </c>
      <c r="H24" s="11">
        <v>45999</v>
      </c>
    </row>
    <row r="25" spans="1:8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97</v>
      </c>
      <c r="G25" s="7">
        <v>1</v>
      </c>
      <c r="H25" s="11">
        <v>45945</v>
      </c>
    </row>
    <row r="26" spans="1:8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28</v>
      </c>
      <c r="G26" s="7">
        <v>3</v>
      </c>
      <c r="H26" s="11">
        <v>45831</v>
      </c>
    </row>
    <row r="27" spans="1:8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98</v>
      </c>
      <c r="G27" s="7">
        <v>2</v>
      </c>
      <c r="H27" s="11">
        <v>45978</v>
      </c>
    </row>
    <row r="28" spans="1:8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1" t="s">
        <v>99</v>
      </c>
      <c r="G28" s="6">
        <v>2</v>
      </c>
      <c r="H28" s="11">
        <v>45962</v>
      </c>
    </row>
    <row r="29" spans="1:8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1" t="s">
        <v>18</v>
      </c>
      <c r="G29" s="6"/>
      <c r="H29" s="11">
        <v>45761</v>
      </c>
    </row>
    <row r="30" spans="1:8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29</v>
      </c>
      <c r="G30" s="7"/>
      <c r="H30" s="11">
        <v>45931</v>
      </c>
    </row>
    <row r="31" spans="1:8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30</v>
      </c>
      <c r="G31" s="7"/>
      <c r="H31" s="11">
        <v>45756</v>
      </c>
    </row>
    <row r="32" spans="1:8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31</v>
      </c>
      <c r="G32" s="7"/>
      <c r="H32" s="11">
        <v>45756</v>
      </c>
    </row>
    <row r="33" spans="1:8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14</v>
      </c>
      <c r="G33" s="7"/>
      <c r="H33" s="11">
        <v>45806</v>
      </c>
    </row>
    <row r="34" spans="1:8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21</v>
      </c>
      <c r="G34" s="7"/>
      <c r="H34" s="11">
        <v>45761</v>
      </c>
    </row>
    <row r="35" spans="1:8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32</v>
      </c>
      <c r="G35" s="7"/>
      <c r="H35" s="11">
        <v>45756</v>
      </c>
    </row>
    <row r="36" spans="1:8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22</v>
      </c>
      <c r="G36" s="7"/>
      <c r="H36" s="11">
        <v>45756</v>
      </c>
    </row>
    <row r="37" spans="1:8" x14ac:dyDescent="0.45">
      <c r="A37" s="1"/>
      <c r="B37" s="1"/>
      <c r="C37" s="1"/>
      <c r="D37" s="1"/>
      <c r="E37" s="2">
        <v>35</v>
      </c>
      <c r="F37" s="5" t="s">
        <v>33</v>
      </c>
      <c r="G37" s="7"/>
      <c r="H37" s="11">
        <v>45901</v>
      </c>
    </row>
    <row r="38" spans="1:8" x14ac:dyDescent="0.45">
      <c r="A38" s="1"/>
      <c r="B38" s="1"/>
      <c r="C38" s="1"/>
      <c r="D38" s="1"/>
      <c r="E38" s="2">
        <v>36</v>
      </c>
      <c r="F38" s="5" t="s">
        <v>12</v>
      </c>
      <c r="G38" s="7"/>
      <c r="H38" s="11">
        <v>45831</v>
      </c>
    </row>
    <row r="39" spans="1:8" x14ac:dyDescent="0.45">
      <c r="A39" s="1"/>
      <c r="B39" s="1"/>
      <c r="C39" s="1"/>
      <c r="D39" s="1"/>
      <c r="E39" s="2">
        <v>37</v>
      </c>
      <c r="F39" s="5" t="s">
        <v>15</v>
      </c>
      <c r="G39" s="7"/>
      <c r="H39" s="11">
        <v>45763</v>
      </c>
    </row>
    <row r="40" spans="1:8" x14ac:dyDescent="0.45">
      <c r="A40" s="1"/>
      <c r="B40" s="1"/>
      <c r="C40" s="1"/>
      <c r="D40" s="1"/>
      <c r="E40" s="2">
        <v>38</v>
      </c>
      <c r="F40" s="5" t="s">
        <v>34</v>
      </c>
      <c r="G40" s="7"/>
      <c r="H40" s="11">
        <v>45757</v>
      </c>
    </row>
    <row r="41" spans="1:8" x14ac:dyDescent="0.45">
      <c r="A41" s="1"/>
      <c r="B41" s="1"/>
      <c r="C41" s="1"/>
      <c r="D41" s="1"/>
      <c r="E41" s="2">
        <v>39</v>
      </c>
      <c r="F41" s="5" t="s">
        <v>24</v>
      </c>
      <c r="G41" s="7"/>
      <c r="H41" s="11">
        <v>45796</v>
      </c>
    </row>
    <row r="42" spans="1:8" x14ac:dyDescent="0.45">
      <c r="A42" s="1"/>
      <c r="B42" s="1"/>
      <c r="C42" s="1"/>
      <c r="D42" s="1"/>
      <c r="E42" s="2">
        <v>40</v>
      </c>
      <c r="F42" s="5" t="s">
        <v>20</v>
      </c>
      <c r="G42" s="7"/>
      <c r="H42" s="11">
        <v>45756</v>
      </c>
    </row>
    <row r="43" spans="1:8" x14ac:dyDescent="0.45">
      <c r="A43" s="1"/>
      <c r="B43" s="1"/>
      <c r="C43" s="1"/>
      <c r="D43" s="1"/>
      <c r="E43" s="2">
        <v>41</v>
      </c>
      <c r="F43" s="5" t="s">
        <v>16</v>
      </c>
      <c r="G43" s="7"/>
      <c r="H43" s="11">
        <v>45796</v>
      </c>
    </row>
    <row r="44" spans="1:8" x14ac:dyDescent="0.45">
      <c r="A44" s="1"/>
      <c r="B44" s="1"/>
      <c r="C44" s="1"/>
      <c r="D44" s="1"/>
      <c r="E44" s="2">
        <v>42</v>
      </c>
      <c r="F44" s="5" t="s">
        <v>17</v>
      </c>
      <c r="G44" s="7"/>
      <c r="H44" s="11">
        <v>45796</v>
      </c>
    </row>
    <row r="45" spans="1:8" x14ac:dyDescent="0.45">
      <c r="A45" s="1"/>
      <c r="B45" s="1"/>
      <c r="C45" s="1"/>
      <c r="D45" s="1"/>
      <c r="E45" s="2">
        <v>43</v>
      </c>
      <c r="F45" s="5" t="s">
        <v>35</v>
      </c>
      <c r="G45" s="7"/>
      <c r="H45" s="11">
        <v>45763</v>
      </c>
    </row>
    <row r="46" spans="1:8" x14ac:dyDescent="0.45">
      <c r="A46" s="1"/>
      <c r="B46" s="1"/>
      <c r="C46" s="1"/>
      <c r="D46" s="1"/>
      <c r="E46" s="2">
        <v>44</v>
      </c>
      <c r="F46" s="5" t="s">
        <v>25</v>
      </c>
      <c r="G46" s="7"/>
      <c r="H46" s="11">
        <v>45796</v>
      </c>
    </row>
    <row r="47" spans="1:8" x14ac:dyDescent="0.45">
      <c r="A47" s="1"/>
      <c r="B47" s="1"/>
      <c r="C47" s="1"/>
      <c r="D47" s="1"/>
      <c r="E47" s="2">
        <v>45</v>
      </c>
      <c r="F47" s="5" t="s">
        <v>19</v>
      </c>
      <c r="G47" s="7"/>
      <c r="H47" s="11">
        <v>45763</v>
      </c>
    </row>
    <row r="48" spans="1:8" x14ac:dyDescent="0.45">
      <c r="A48" s="1"/>
      <c r="B48" s="1"/>
      <c r="C48" s="1"/>
      <c r="D48" s="1"/>
      <c r="E48" s="2">
        <v>46</v>
      </c>
      <c r="F48" s="5" t="s">
        <v>36</v>
      </c>
      <c r="G48" s="7"/>
      <c r="H48" s="11">
        <v>45796</v>
      </c>
    </row>
    <row r="49" spans="1:8" x14ac:dyDescent="0.45">
      <c r="A49" s="1"/>
      <c r="B49" s="1"/>
      <c r="C49" s="1"/>
      <c r="D49" s="1"/>
      <c r="E49" s="2">
        <v>47</v>
      </c>
      <c r="F49" s="5" t="s">
        <v>37</v>
      </c>
      <c r="G49" s="7"/>
      <c r="H49" s="11">
        <v>45814</v>
      </c>
    </row>
    <row r="50" spans="1:8" x14ac:dyDescent="0.45">
      <c r="A50" s="1"/>
      <c r="B50" s="1"/>
      <c r="C50" s="1"/>
      <c r="D50" s="1"/>
      <c r="E50" s="2">
        <v>48</v>
      </c>
      <c r="F50" s="5" t="s">
        <v>13</v>
      </c>
      <c r="G50" s="7"/>
      <c r="H50" s="11">
        <v>45784</v>
      </c>
    </row>
    <row r="51" spans="1:8" x14ac:dyDescent="0.45">
      <c r="A51" s="1"/>
      <c r="B51" s="1"/>
      <c r="C51" s="1"/>
      <c r="D51" s="1"/>
      <c r="E51" s="2">
        <v>49</v>
      </c>
      <c r="F51" s="5" t="s">
        <v>11</v>
      </c>
      <c r="G51" s="7"/>
      <c r="H51" s="11">
        <v>45819</v>
      </c>
    </row>
    <row r="52" spans="1:8" x14ac:dyDescent="0.45">
      <c r="A52" s="1"/>
      <c r="B52" s="1"/>
      <c r="C52" s="1"/>
      <c r="D52" s="1"/>
      <c r="E52" s="2">
        <v>50</v>
      </c>
    </row>
    <row r="53" spans="1:8" x14ac:dyDescent="0.45">
      <c r="A53" s="1"/>
      <c r="B53" s="1"/>
      <c r="C53" s="1"/>
      <c r="D53" s="1"/>
      <c r="E53" s="2">
        <v>51</v>
      </c>
    </row>
    <row r="54" spans="1:8" x14ac:dyDescent="0.45">
      <c r="A54" s="1"/>
      <c r="B54" s="1"/>
      <c r="C54" s="1"/>
      <c r="D54" s="1"/>
      <c r="E54" s="2">
        <v>52</v>
      </c>
    </row>
    <row r="55" spans="1:8" x14ac:dyDescent="0.45">
      <c r="A55" s="1"/>
      <c r="B55" s="1"/>
      <c r="C55" s="1"/>
      <c r="D55" s="1"/>
      <c r="E55" s="2">
        <v>53</v>
      </c>
    </row>
  </sheetData>
  <autoFilter ref="E2:H2" xr:uid="{CA362B1A-F850-46C7-9615-4E5D2CB60414}"/>
  <phoneticPr fontId="1"/>
  <pageMargins left="0.70866141732283461" right="0.70866141732283461" top="0.74803149606299213" bottom="0.74803149606299213" header="0.31496062992125984" footer="0.31496062992125984"/>
  <pageSetup paperSize="9" scale="77" orientation="portrait" r:id="rId1"/>
  <rowBreaks count="1" manualBreakCount="1">
    <brk id="52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22D8-A4C5-47A0-9279-3DDA4583DDA4}">
  <sheetPr>
    <pageSetUpPr fitToPage="1"/>
  </sheetPr>
  <dimension ref="A2:H39"/>
  <sheetViews>
    <sheetView view="pageBreakPreview" topLeftCell="E1" zoomScale="121" zoomScaleNormal="100" workbookViewId="0">
      <selection activeCell="F3" sqref="F3:H3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3.3984375" bestFit="1" customWidth="1"/>
    <col min="6" max="6" width="74.09765625" bestFit="1" customWidth="1"/>
    <col min="7" max="7" width="8.59765625" bestFit="1" customWidth="1"/>
    <col min="8" max="8" width="12.3984375" bestFit="1" customWidth="1"/>
  </cols>
  <sheetData>
    <row r="2" spans="1:8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88</v>
      </c>
      <c r="F2" s="1" t="s">
        <v>4</v>
      </c>
      <c r="G2" s="6" t="s">
        <v>5</v>
      </c>
      <c r="H2" s="8" t="s">
        <v>89</v>
      </c>
    </row>
    <row r="3" spans="1:8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1" t="s">
        <v>120</v>
      </c>
      <c r="G3" s="6">
        <v>0.5</v>
      </c>
      <c r="H3" s="10">
        <v>46035</v>
      </c>
    </row>
    <row r="4" spans="1:8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1" t="s">
        <v>122</v>
      </c>
      <c r="G4" s="6">
        <v>2</v>
      </c>
      <c r="H4" s="10">
        <v>46035</v>
      </c>
    </row>
    <row r="5" spans="1:8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1" t="s">
        <v>121</v>
      </c>
      <c r="G5" s="6">
        <v>2</v>
      </c>
      <c r="H5" s="10">
        <v>46035</v>
      </c>
    </row>
    <row r="6" spans="1:8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93</v>
      </c>
      <c r="G6" s="7">
        <v>5</v>
      </c>
      <c r="H6" s="11" t="s">
        <v>119</v>
      </c>
    </row>
    <row r="7" spans="1:8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5" t="s">
        <v>91</v>
      </c>
      <c r="G7" s="7">
        <v>1</v>
      </c>
      <c r="H7" s="12">
        <v>46017</v>
      </c>
    </row>
    <row r="8" spans="1:8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1" t="s">
        <v>94</v>
      </c>
      <c r="G8" s="7">
        <v>2</v>
      </c>
      <c r="H8" s="11">
        <v>45967</v>
      </c>
    </row>
    <row r="9" spans="1:8" x14ac:dyDescent="0.45">
      <c r="A9" s="3"/>
      <c r="B9" s="1"/>
      <c r="C9" s="4"/>
      <c r="D9" s="4"/>
      <c r="E9" s="2">
        <v>7</v>
      </c>
      <c r="F9" s="5" t="s">
        <v>90</v>
      </c>
      <c r="G9" s="7">
        <v>1</v>
      </c>
      <c r="H9" s="12">
        <v>46017</v>
      </c>
    </row>
    <row r="10" spans="1:8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1" t="s">
        <v>92</v>
      </c>
      <c r="G10" s="6">
        <v>2</v>
      </c>
      <c r="H10" s="11">
        <v>45796</v>
      </c>
    </row>
    <row r="11" spans="1:8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95</v>
      </c>
      <c r="G11" s="7">
        <v>2</v>
      </c>
      <c r="H11" s="11">
        <v>45985</v>
      </c>
    </row>
    <row r="12" spans="1:8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96</v>
      </c>
      <c r="G12" s="7">
        <v>2</v>
      </c>
      <c r="H12" s="11">
        <v>45999</v>
      </c>
    </row>
    <row r="13" spans="1:8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5" t="s">
        <v>97</v>
      </c>
      <c r="G13" s="7">
        <v>1</v>
      </c>
      <c r="H13" s="11">
        <v>45945</v>
      </c>
    </row>
    <row r="14" spans="1:8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5" t="s">
        <v>28</v>
      </c>
      <c r="G14" s="7">
        <v>3</v>
      </c>
      <c r="H14" s="11">
        <v>45831</v>
      </c>
    </row>
    <row r="15" spans="1:8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98</v>
      </c>
      <c r="G15" s="7">
        <v>2</v>
      </c>
      <c r="H15" s="11">
        <v>45978</v>
      </c>
    </row>
    <row r="16" spans="1:8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1" t="s">
        <v>99</v>
      </c>
      <c r="G16" s="6">
        <v>2</v>
      </c>
      <c r="H16" s="11">
        <v>45962</v>
      </c>
    </row>
    <row r="17" spans="1:8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1" t="s">
        <v>18</v>
      </c>
      <c r="G17" s="6"/>
      <c r="H17" s="11">
        <v>45761</v>
      </c>
    </row>
    <row r="18" spans="1:8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29</v>
      </c>
      <c r="G18" s="7"/>
      <c r="H18" s="11">
        <v>45931</v>
      </c>
    </row>
    <row r="19" spans="1:8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30</v>
      </c>
      <c r="G19" s="7"/>
      <c r="H19" s="11">
        <v>45756</v>
      </c>
    </row>
    <row r="20" spans="1:8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31</v>
      </c>
      <c r="G20" s="7"/>
      <c r="H20" s="11">
        <v>45756</v>
      </c>
    </row>
    <row r="21" spans="1:8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14</v>
      </c>
      <c r="G21" s="7"/>
      <c r="H21" s="11">
        <v>45806</v>
      </c>
    </row>
    <row r="22" spans="1:8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21</v>
      </c>
      <c r="G22" s="7"/>
      <c r="H22" s="11">
        <v>45761</v>
      </c>
    </row>
    <row r="23" spans="1:8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32</v>
      </c>
      <c r="G23" s="7"/>
      <c r="H23" s="11">
        <v>45756</v>
      </c>
    </row>
    <row r="24" spans="1:8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22</v>
      </c>
      <c r="G24" s="7"/>
      <c r="H24" s="11">
        <v>45756</v>
      </c>
    </row>
    <row r="25" spans="1:8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33</v>
      </c>
      <c r="G25" s="7"/>
      <c r="H25" s="11">
        <v>45901</v>
      </c>
    </row>
    <row r="26" spans="1:8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12</v>
      </c>
      <c r="G26" s="7"/>
      <c r="H26" s="11">
        <v>45831</v>
      </c>
    </row>
    <row r="27" spans="1:8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15</v>
      </c>
      <c r="G27" s="7"/>
      <c r="H27" s="11">
        <v>45763</v>
      </c>
    </row>
    <row r="28" spans="1:8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34</v>
      </c>
      <c r="G28" s="7"/>
      <c r="H28" s="11">
        <v>45757</v>
      </c>
    </row>
    <row r="29" spans="1:8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24</v>
      </c>
      <c r="G29" s="7"/>
      <c r="H29" s="11">
        <v>45796</v>
      </c>
    </row>
    <row r="30" spans="1:8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20</v>
      </c>
      <c r="G30" s="7"/>
      <c r="H30" s="11">
        <v>45756</v>
      </c>
    </row>
    <row r="31" spans="1:8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16</v>
      </c>
      <c r="G31" s="7"/>
      <c r="H31" s="11">
        <v>45796</v>
      </c>
    </row>
    <row r="32" spans="1:8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17</v>
      </c>
      <c r="G32" s="7"/>
      <c r="H32" s="11">
        <v>45796</v>
      </c>
    </row>
    <row r="33" spans="1:8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35</v>
      </c>
      <c r="G33" s="7"/>
      <c r="H33" s="11">
        <v>45763</v>
      </c>
    </row>
    <row r="34" spans="1:8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25</v>
      </c>
      <c r="G34" s="7"/>
      <c r="H34" s="11">
        <v>45796</v>
      </c>
    </row>
    <row r="35" spans="1:8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19</v>
      </c>
      <c r="G35" s="7"/>
      <c r="H35" s="11">
        <v>45763</v>
      </c>
    </row>
    <row r="36" spans="1:8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36</v>
      </c>
      <c r="G36" s="7"/>
      <c r="H36" s="11">
        <v>45796</v>
      </c>
    </row>
    <row r="37" spans="1:8" x14ac:dyDescent="0.45">
      <c r="F37" s="5" t="s">
        <v>37</v>
      </c>
      <c r="G37" s="7"/>
      <c r="H37" s="11">
        <v>45814</v>
      </c>
    </row>
    <row r="38" spans="1:8" x14ac:dyDescent="0.45">
      <c r="F38" s="5" t="s">
        <v>13</v>
      </c>
      <c r="G38" s="7"/>
      <c r="H38" s="11">
        <v>45784</v>
      </c>
    </row>
    <row r="39" spans="1:8" x14ac:dyDescent="0.45">
      <c r="F39" s="5" t="s">
        <v>11</v>
      </c>
      <c r="G39" s="7"/>
      <c r="H39" s="11">
        <v>45819</v>
      </c>
    </row>
  </sheetData>
  <phoneticPr fontId="1"/>
  <pageMargins left="0.70866141732283461" right="0.70866141732283461" top="0.74803149606299213" bottom="0.74803149606299213" header="0.31496062992125984" footer="0.31496062992125984"/>
  <pageSetup paperSize="9" scale="81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2E81-F7C6-4A02-A6B9-8358BCA0D362}">
  <sheetPr>
    <pageSetUpPr fitToPage="1"/>
  </sheetPr>
  <dimension ref="A2:H36"/>
  <sheetViews>
    <sheetView view="pageBreakPreview" topLeftCell="E20" zoomScale="121" zoomScaleNormal="100" workbookViewId="0">
      <selection activeCell="E2" sqref="E2:H36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3.3984375" bestFit="1" customWidth="1"/>
    <col min="6" max="6" width="74.09765625" bestFit="1" customWidth="1"/>
    <col min="7" max="7" width="8.59765625" bestFit="1" customWidth="1"/>
    <col min="8" max="8" width="12.3984375" bestFit="1" customWidth="1"/>
  </cols>
  <sheetData>
    <row r="2" spans="1:8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88</v>
      </c>
      <c r="F2" s="1" t="s">
        <v>4</v>
      </c>
      <c r="G2" s="6" t="s">
        <v>5</v>
      </c>
      <c r="H2" s="8" t="s">
        <v>89</v>
      </c>
    </row>
    <row r="3" spans="1:8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93</v>
      </c>
      <c r="G3" s="7">
        <v>5</v>
      </c>
      <c r="H3" s="1" t="s">
        <v>119</v>
      </c>
    </row>
    <row r="4" spans="1:8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91</v>
      </c>
      <c r="G4" s="7">
        <v>1</v>
      </c>
      <c r="H4" s="9" t="s">
        <v>118</v>
      </c>
    </row>
    <row r="5" spans="1:8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1" t="s">
        <v>94</v>
      </c>
      <c r="G5" s="7">
        <v>2</v>
      </c>
      <c r="H5" s="1" t="s">
        <v>101</v>
      </c>
    </row>
    <row r="6" spans="1:8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90</v>
      </c>
      <c r="G6" s="7">
        <v>1</v>
      </c>
      <c r="H6" s="9" t="s">
        <v>118</v>
      </c>
    </row>
    <row r="7" spans="1:8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1" t="s">
        <v>92</v>
      </c>
      <c r="G7" s="6">
        <v>2</v>
      </c>
      <c r="H7" s="1" t="s">
        <v>100</v>
      </c>
    </row>
    <row r="8" spans="1:8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5" t="s">
        <v>95</v>
      </c>
      <c r="G8" s="7">
        <v>2</v>
      </c>
      <c r="H8" s="1" t="s">
        <v>102</v>
      </c>
    </row>
    <row r="9" spans="1:8" x14ac:dyDescent="0.45">
      <c r="A9" s="3"/>
      <c r="B9" s="1"/>
      <c r="C9" s="4"/>
      <c r="D9" s="4"/>
      <c r="E9" s="2">
        <v>7</v>
      </c>
      <c r="F9" s="5" t="s">
        <v>96</v>
      </c>
      <c r="G9" s="7">
        <v>2</v>
      </c>
      <c r="H9" s="1" t="s">
        <v>103</v>
      </c>
    </row>
    <row r="10" spans="1:8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97</v>
      </c>
      <c r="G10" s="7">
        <v>1</v>
      </c>
      <c r="H10" s="1" t="s">
        <v>104</v>
      </c>
    </row>
    <row r="11" spans="1:8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28</v>
      </c>
      <c r="G11" s="7">
        <v>3</v>
      </c>
      <c r="H11" s="1" t="s">
        <v>105</v>
      </c>
    </row>
    <row r="12" spans="1:8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98</v>
      </c>
      <c r="G12" s="7">
        <v>2</v>
      </c>
      <c r="H12" s="1" t="s">
        <v>106</v>
      </c>
    </row>
    <row r="13" spans="1:8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1" t="s">
        <v>99</v>
      </c>
      <c r="G13" s="6">
        <v>2</v>
      </c>
      <c r="H13" s="1" t="s">
        <v>107</v>
      </c>
    </row>
    <row r="14" spans="1:8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1" t="s">
        <v>18</v>
      </c>
      <c r="G14" s="6"/>
      <c r="H14" s="1" t="s">
        <v>108</v>
      </c>
    </row>
    <row r="15" spans="1:8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29</v>
      </c>
      <c r="G15" s="7"/>
      <c r="H15" s="1" t="s">
        <v>109</v>
      </c>
    </row>
    <row r="16" spans="1:8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5" t="s">
        <v>30</v>
      </c>
      <c r="G16" s="7"/>
      <c r="H16" s="1" t="s">
        <v>110</v>
      </c>
    </row>
    <row r="17" spans="1:8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5" t="s">
        <v>31</v>
      </c>
      <c r="G17" s="7"/>
      <c r="H17" s="1" t="s">
        <v>110</v>
      </c>
    </row>
    <row r="18" spans="1:8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14</v>
      </c>
      <c r="G18" s="7"/>
      <c r="H18" s="1" t="s">
        <v>111</v>
      </c>
    </row>
    <row r="19" spans="1:8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21</v>
      </c>
      <c r="G19" s="7"/>
      <c r="H19" s="1" t="s">
        <v>108</v>
      </c>
    </row>
    <row r="20" spans="1:8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32</v>
      </c>
      <c r="G20" s="7"/>
      <c r="H20" s="1" t="s">
        <v>110</v>
      </c>
    </row>
    <row r="21" spans="1:8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22</v>
      </c>
      <c r="G21" s="7"/>
      <c r="H21" s="1" t="s">
        <v>110</v>
      </c>
    </row>
    <row r="22" spans="1:8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33</v>
      </c>
      <c r="G22" s="7"/>
      <c r="H22" s="1" t="s">
        <v>112</v>
      </c>
    </row>
    <row r="23" spans="1:8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12</v>
      </c>
      <c r="G23" s="7"/>
      <c r="H23" s="1" t="s">
        <v>105</v>
      </c>
    </row>
    <row r="24" spans="1:8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15</v>
      </c>
      <c r="G24" s="7"/>
      <c r="H24" s="1" t="s">
        <v>113</v>
      </c>
    </row>
    <row r="25" spans="1:8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34</v>
      </c>
      <c r="G25" s="7"/>
      <c r="H25" s="1" t="s">
        <v>114</v>
      </c>
    </row>
    <row r="26" spans="1:8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24</v>
      </c>
      <c r="G26" s="7"/>
      <c r="H26" s="1" t="s">
        <v>100</v>
      </c>
    </row>
    <row r="27" spans="1:8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20</v>
      </c>
      <c r="G27" s="7"/>
      <c r="H27" s="1" t="s">
        <v>110</v>
      </c>
    </row>
    <row r="28" spans="1:8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16</v>
      </c>
      <c r="G28" s="7"/>
      <c r="H28" s="1" t="s">
        <v>100</v>
      </c>
    </row>
    <row r="29" spans="1:8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17</v>
      </c>
      <c r="G29" s="7"/>
      <c r="H29" s="1" t="s">
        <v>100</v>
      </c>
    </row>
    <row r="30" spans="1:8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35</v>
      </c>
      <c r="G30" s="7"/>
      <c r="H30" s="1" t="s">
        <v>113</v>
      </c>
    </row>
    <row r="31" spans="1:8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25</v>
      </c>
      <c r="G31" s="7"/>
      <c r="H31" s="1" t="s">
        <v>100</v>
      </c>
    </row>
    <row r="32" spans="1:8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19</v>
      </c>
      <c r="G32" s="7"/>
      <c r="H32" s="1" t="s">
        <v>113</v>
      </c>
    </row>
    <row r="33" spans="1:8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36</v>
      </c>
      <c r="G33" s="7"/>
      <c r="H33" s="1" t="s">
        <v>100</v>
      </c>
    </row>
    <row r="34" spans="1:8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37</v>
      </c>
      <c r="G34" s="7"/>
      <c r="H34" s="1" t="s">
        <v>115</v>
      </c>
    </row>
    <row r="35" spans="1:8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13</v>
      </c>
      <c r="G35" s="7"/>
      <c r="H35" s="1" t="s">
        <v>116</v>
      </c>
    </row>
    <row r="36" spans="1:8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11</v>
      </c>
      <c r="G36" s="7"/>
      <c r="H36" s="1" t="s">
        <v>117</v>
      </c>
    </row>
  </sheetData>
  <phoneticPr fontId="1"/>
  <pageMargins left="0.70866141732283461" right="0.70866141732283461" top="0.74803149606299213" bottom="0.74803149606299213" header="0.31496062992125984" footer="0.31496062992125984"/>
  <pageSetup paperSize="9" scale="81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FA1E-4DE1-4594-B703-52815E8734BF}">
  <sheetPr>
    <pageSetUpPr fitToPage="1"/>
  </sheetPr>
  <dimension ref="A2:H42"/>
  <sheetViews>
    <sheetView topLeftCell="E1" zoomScaleNormal="100" workbookViewId="0">
      <selection activeCell="G2" sqref="G2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3.3984375" bestFit="1" customWidth="1"/>
    <col min="6" max="6" width="74.09765625" bestFit="1" customWidth="1"/>
    <col min="7" max="7" width="8.59765625" bestFit="1" customWidth="1"/>
    <col min="8" max="8" width="12.3984375" bestFit="1" customWidth="1"/>
  </cols>
  <sheetData>
    <row r="2" spans="1:8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6" t="s">
        <v>5</v>
      </c>
      <c r="H2" s="8" t="s">
        <v>78</v>
      </c>
    </row>
    <row r="3" spans="1:8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83</v>
      </c>
      <c r="G3" s="7">
        <v>5</v>
      </c>
      <c r="H3" s="1">
        <v>251222</v>
      </c>
    </row>
    <row r="4" spans="1:8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84</v>
      </c>
      <c r="G4" s="7">
        <v>3</v>
      </c>
      <c r="H4" s="1">
        <v>251222</v>
      </c>
    </row>
    <row r="5" spans="1:8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1" t="s">
        <v>87</v>
      </c>
      <c r="G5" s="6">
        <v>2</v>
      </c>
      <c r="H5" s="1">
        <v>251218</v>
      </c>
    </row>
    <row r="6" spans="1:8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64</v>
      </c>
      <c r="G6" s="7">
        <v>2</v>
      </c>
      <c r="H6" s="1" t="s">
        <v>85</v>
      </c>
    </row>
    <row r="7" spans="1:8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1" t="s">
        <v>77</v>
      </c>
      <c r="G7" s="7">
        <v>2</v>
      </c>
      <c r="H7" s="1">
        <v>251118</v>
      </c>
    </row>
    <row r="8" spans="1:8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5" t="s">
        <v>74</v>
      </c>
      <c r="G8" s="7">
        <v>2</v>
      </c>
      <c r="H8" s="1"/>
    </row>
    <row r="9" spans="1:8" x14ac:dyDescent="0.45">
      <c r="A9" s="3"/>
      <c r="B9" s="1"/>
      <c r="C9" s="4"/>
      <c r="D9" s="4"/>
      <c r="E9" s="2">
        <v>7</v>
      </c>
      <c r="F9" s="5" t="s">
        <v>75</v>
      </c>
      <c r="G9" s="7">
        <v>1</v>
      </c>
      <c r="H9" s="1" t="s">
        <v>79</v>
      </c>
    </row>
    <row r="10" spans="1:8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28</v>
      </c>
      <c r="G10" s="7">
        <v>3</v>
      </c>
      <c r="H10" s="1" t="s">
        <v>79</v>
      </c>
    </row>
    <row r="11" spans="1:8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76</v>
      </c>
      <c r="G11" s="7">
        <v>2</v>
      </c>
      <c r="H11" s="1">
        <v>251118</v>
      </c>
    </row>
    <row r="12" spans="1:8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70</v>
      </c>
      <c r="G12" s="7">
        <v>2.5</v>
      </c>
      <c r="H12" s="1" t="s">
        <v>82</v>
      </c>
    </row>
    <row r="13" spans="1:8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1" t="s">
        <v>43</v>
      </c>
      <c r="G13" s="6">
        <v>2</v>
      </c>
      <c r="H13" s="1" t="s">
        <v>80</v>
      </c>
    </row>
    <row r="14" spans="1:8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1" t="s">
        <v>44</v>
      </c>
      <c r="G14" s="6">
        <v>2</v>
      </c>
      <c r="H14" s="1" t="s">
        <v>81</v>
      </c>
    </row>
    <row r="15" spans="1:8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71</v>
      </c>
      <c r="G15" s="7">
        <v>2</v>
      </c>
      <c r="H15" s="1" t="s">
        <v>82</v>
      </c>
    </row>
    <row r="16" spans="1:8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5" t="s">
        <v>18</v>
      </c>
      <c r="G16" s="7"/>
      <c r="H16" s="1" t="s">
        <v>86</v>
      </c>
    </row>
    <row r="17" spans="1:8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5" t="s">
        <v>29</v>
      </c>
      <c r="G17" s="7"/>
      <c r="H17" s="1" t="s">
        <v>79</v>
      </c>
    </row>
    <row r="18" spans="1:8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30</v>
      </c>
      <c r="G18" s="7"/>
      <c r="H18" s="1" t="s">
        <v>86</v>
      </c>
    </row>
    <row r="19" spans="1:8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31</v>
      </c>
      <c r="G19" s="7"/>
      <c r="H19" s="1" t="s">
        <v>86</v>
      </c>
    </row>
    <row r="20" spans="1:8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14</v>
      </c>
      <c r="G20" s="7"/>
      <c r="H20" s="1" t="s">
        <v>86</v>
      </c>
    </row>
    <row r="21" spans="1:8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21</v>
      </c>
      <c r="G21" s="7"/>
      <c r="H21" s="1" t="s">
        <v>86</v>
      </c>
    </row>
    <row r="22" spans="1:8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32</v>
      </c>
      <c r="G22" s="7"/>
      <c r="H22" s="1" t="s">
        <v>86</v>
      </c>
    </row>
    <row r="23" spans="1:8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22</v>
      </c>
      <c r="G23" s="7"/>
      <c r="H23" s="1" t="s">
        <v>86</v>
      </c>
    </row>
    <row r="24" spans="1:8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33</v>
      </c>
      <c r="G24" s="7"/>
      <c r="H24" s="1" t="s">
        <v>86</v>
      </c>
    </row>
    <row r="25" spans="1:8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12</v>
      </c>
      <c r="G25" s="7"/>
      <c r="H25" s="1" t="s">
        <v>86</v>
      </c>
    </row>
    <row r="26" spans="1:8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15</v>
      </c>
      <c r="G26" s="7"/>
      <c r="H26" s="1" t="s">
        <v>86</v>
      </c>
    </row>
    <row r="27" spans="1:8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34</v>
      </c>
      <c r="G27" s="7"/>
      <c r="H27" s="1" t="s">
        <v>86</v>
      </c>
    </row>
    <row r="28" spans="1:8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24</v>
      </c>
      <c r="G28" s="7"/>
      <c r="H28" s="1" t="s">
        <v>86</v>
      </c>
    </row>
    <row r="29" spans="1:8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20</v>
      </c>
      <c r="G29" s="7"/>
      <c r="H29" s="1" t="s">
        <v>86</v>
      </c>
    </row>
    <row r="30" spans="1:8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16</v>
      </c>
      <c r="G30" s="7"/>
      <c r="H30" s="1" t="s">
        <v>86</v>
      </c>
    </row>
    <row r="31" spans="1:8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17</v>
      </c>
      <c r="G31" s="7"/>
      <c r="H31" s="1" t="s">
        <v>86</v>
      </c>
    </row>
    <row r="32" spans="1:8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35</v>
      </c>
      <c r="G32" s="7"/>
      <c r="H32" s="1" t="s">
        <v>86</v>
      </c>
    </row>
    <row r="33" spans="1:8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25</v>
      </c>
      <c r="G33" s="7"/>
      <c r="H33" s="1" t="s">
        <v>86</v>
      </c>
    </row>
    <row r="34" spans="1:8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19</v>
      </c>
      <c r="G34" s="7"/>
      <c r="H34" s="1" t="s">
        <v>86</v>
      </c>
    </row>
    <row r="35" spans="1:8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36</v>
      </c>
      <c r="G35" s="7"/>
      <c r="H35" s="1" t="s">
        <v>86</v>
      </c>
    </row>
    <row r="36" spans="1:8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37</v>
      </c>
      <c r="G36" s="7"/>
      <c r="H36" s="1" t="s">
        <v>86</v>
      </c>
    </row>
    <row r="37" spans="1:8" x14ac:dyDescent="0.45">
      <c r="A37" s="3">
        <v>45951</v>
      </c>
      <c r="B37" s="1" t="s">
        <v>7</v>
      </c>
      <c r="C37" s="4">
        <v>0.4375</v>
      </c>
      <c r="D37" s="4">
        <v>0.47916666666666669</v>
      </c>
      <c r="E37" s="2">
        <v>35</v>
      </c>
      <c r="F37" s="5" t="s">
        <v>13</v>
      </c>
      <c r="G37" s="7"/>
      <c r="H37" s="1" t="s">
        <v>86</v>
      </c>
    </row>
    <row r="38" spans="1:8" x14ac:dyDescent="0.45">
      <c r="E38" s="2">
        <v>36</v>
      </c>
      <c r="F38" s="5" t="s">
        <v>11</v>
      </c>
      <c r="G38" s="7"/>
      <c r="H38" s="1" t="s">
        <v>86</v>
      </c>
    </row>
    <row r="39" spans="1:8" x14ac:dyDescent="0.45">
      <c r="E39" s="2">
        <v>37</v>
      </c>
      <c r="F39" s="5"/>
      <c r="G39" s="7"/>
      <c r="H39" s="1"/>
    </row>
    <row r="40" spans="1:8" x14ac:dyDescent="0.45">
      <c r="E40" s="2">
        <v>38</v>
      </c>
      <c r="F40" s="5"/>
      <c r="G40" s="7"/>
      <c r="H40" s="1"/>
    </row>
    <row r="41" spans="1:8" x14ac:dyDescent="0.45">
      <c r="E41" s="2">
        <v>39</v>
      </c>
      <c r="F41" s="1"/>
      <c r="G41" s="6"/>
      <c r="H41" s="1"/>
    </row>
    <row r="42" spans="1:8" x14ac:dyDescent="0.45">
      <c r="E42" s="2">
        <v>40</v>
      </c>
      <c r="F42" s="5"/>
      <c r="G42" s="7"/>
      <c r="H42" s="1"/>
    </row>
  </sheetData>
  <phoneticPr fontId="1"/>
  <pageMargins left="0.70866141732283461" right="0.70866141732283461" top="0.74803149606299213" bottom="0.74803149606299213" header="0.31496062992125984" footer="0.31496062992125984"/>
  <pageSetup paperSize="9" scale="93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E52D-B761-4D5D-BB61-EAD02736E40C}">
  <sheetPr>
    <pageSetUpPr fitToPage="1"/>
  </sheetPr>
  <dimension ref="A2:G42"/>
  <sheetViews>
    <sheetView topLeftCell="E25" zoomScaleNormal="100" workbookViewId="0">
      <selection activeCell="E2" sqref="E2:G42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7.09765625" bestFit="1" customWidth="1"/>
    <col min="6" max="6" width="88.19921875" bestFit="1" customWidth="1"/>
    <col min="7" max="7" width="13.296875" customWidth="1"/>
  </cols>
  <sheetData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6" t="s">
        <v>5</v>
      </c>
    </row>
    <row r="3" spans="1:7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66</v>
      </c>
      <c r="G3" s="7">
        <v>5</v>
      </c>
    </row>
    <row r="4" spans="1:7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67</v>
      </c>
      <c r="G4" s="7">
        <v>3</v>
      </c>
    </row>
    <row r="5" spans="1:7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5" t="s">
        <v>73</v>
      </c>
      <c r="G5" s="7">
        <v>3</v>
      </c>
    </row>
    <row r="6" spans="1:7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69</v>
      </c>
      <c r="G6" s="7">
        <v>2</v>
      </c>
    </row>
    <row r="7" spans="1:7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5" t="s">
        <v>65</v>
      </c>
      <c r="G7" s="7">
        <v>5</v>
      </c>
    </row>
    <row r="8" spans="1:7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1" t="s">
        <v>53</v>
      </c>
      <c r="G8" s="6">
        <v>2</v>
      </c>
    </row>
    <row r="9" spans="1:7" x14ac:dyDescent="0.45">
      <c r="A9" s="3"/>
      <c r="B9" s="1"/>
      <c r="C9" s="4"/>
      <c r="D9" s="4"/>
      <c r="E9" s="2">
        <v>7</v>
      </c>
      <c r="F9" s="1" t="s">
        <v>72</v>
      </c>
      <c r="G9" s="6">
        <v>2</v>
      </c>
    </row>
    <row r="10" spans="1:7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64</v>
      </c>
      <c r="G10" s="7">
        <v>2</v>
      </c>
    </row>
    <row r="11" spans="1:7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1" t="s">
        <v>68</v>
      </c>
      <c r="G11" s="6">
        <v>3</v>
      </c>
    </row>
    <row r="12" spans="1:7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28</v>
      </c>
      <c r="G12" s="7">
        <v>3</v>
      </c>
    </row>
    <row r="13" spans="1:7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5" t="s">
        <v>74</v>
      </c>
      <c r="G13" s="7">
        <v>2</v>
      </c>
    </row>
    <row r="14" spans="1:7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5" t="s">
        <v>70</v>
      </c>
      <c r="G14" s="7">
        <v>2.5</v>
      </c>
    </row>
    <row r="15" spans="1:7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27</v>
      </c>
      <c r="G15" s="7">
        <v>1</v>
      </c>
    </row>
    <row r="16" spans="1:7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1" t="s">
        <v>43</v>
      </c>
      <c r="G16" s="6">
        <v>2</v>
      </c>
    </row>
    <row r="17" spans="1:7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1" t="s">
        <v>44</v>
      </c>
      <c r="G17" s="6">
        <v>2</v>
      </c>
    </row>
    <row r="18" spans="1:7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71</v>
      </c>
      <c r="G18" s="7">
        <v>2</v>
      </c>
    </row>
    <row r="19" spans="1:7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18</v>
      </c>
      <c r="G19" s="7"/>
    </row>
    <row r="20" spans="1:7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29</v>
      </c>
      <c r="G20" s="7"/>
    </row>
    <row r="21" spans="1:7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30</v>
      </c>
      <c r="G21" s="7"/>
    </row>
    <row r="22" spans="1:7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31</v>
      </c>
      <c r="G22" s="7"/>
    </row>
    <row r="23" spans="1:7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14</v>
      </c>
      <c r="G23" s="7"/>
    </row>
    <row r="24" spans="1:7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21</v>
      </c>
      <c r="G24" s="7"/>
    </row>
    <row r="25" spans="1:7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32</v>
      </c>
      <c r="G25" s="7"/>
    </row>
    <row r="26" spans="1:7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22</v>
      </c>
      <c r="G26" s="7"/>
    </row>
    <row r="27" spans="1:7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33</v>
      </c>
      <c r="G27" s="7"/>
    </row>
    <row r="28" spans="1:7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12</v>
      </c>
      <c r="G28" s="7"/>
    </row>
    <row r="29" spans="1:7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15</v>
      </c>
      <c r="G29" s="7"/>
    </row>
    <row r="30" spans="1:7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34</v>
      </c>
      <c r="G30" s="7"/>
    </row>
    <row r="31" spans="1:7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24</v>
      </c>
      <c r="G31" s="7"/>
    </row>
    <row r="32" spans="1:7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20</v>
      </c>
      <c r="G32" s="7"/>
    </row>
    <row r="33" spans="1:7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16</v>
      </c>
      <c r="G33" s="7"/>
    </row>
    <row r="34" spans="1:7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17</v>
      </c>
      <c r="G34" s="7"/>
    </row>
    <row r="35" spans="1:7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35</v>
      </c>
      <c r="G35" s="7"/>
    </row>
    <row r="36" spans="1:7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25</v>
      </c>
      <c r="G36" s="7"/>
    </row>
    <row r="37" spans="1:7" x14ac:dyDescent="0.45">
      <c r="A37" s="3">
        <v>45951</v>
      </c>
      <c r="B37" s="1" t="s">
        <v>7</v>
      </c>
      <c r="C37" s="4">
        <v>0.4375</v>
      </c>
      <c r="D37" s="4">
        <v>0.47916666666666669</v>
      </c>
      <c r="E37" s="2">
        <v>35</v>
      </c>
      <c r="F37" s="5" t="s">
        <v>19</v>
      </c>
      <c r="G37" s="7"/>
    </row>
    <row r="38" spans="1:7" x14ac:dyDescent="0.45">
      <c r="E38" s="2">
        <v>36</v>
      </c>
      <c r="F38" s="5" t="s">
        <v>36</v>
      </c>
      <c r="G38" s="7"/>
    </row>
    <row r="39" spans="1:7" x14ac:dyDescent="0.45">
      <c r="E39" s="2">
        <v>37</v>
      </c>
      <c r="F39" s="5" t="s">
        <v>37</v>
      </c>
      <c r="G39" s="7"/>
    </row>
    <row r="40" spans="1:7" x14ac:dyDescent="0.45">
      <c r="E40" s="2">
        <v>38</v>
      </c>
      <c r="F40" s="5" t="s">
        <v>13</v>
      </c>
      <c r="G40" s="7"/>
    </row>
    <row r="41" spans="1:7" x14ac:dyDescent="0.45">
      <c r="E41" s="2">
        <v>39</v>
      </c>
      <c r="F41" s="5" t="s">
        <v>11</v>
      </c>
      <c r="G41" s="7"/>
    </row>
    <row r="42" spans="1:7" x14ac:dyDescent="0.45">
      <c r="E42" s="2">
        <v>40</v>
      </c>
      <c r="F42" s="5"/>
      <c r="G42" s="7"/>
    </row>
  </sheetData>
  <phoneticPr fontId="1"/>
  <pageMargins left="0.70866141732283461" right="0.70866141732283461" top="0.74803149606299213" bottom="0.74803149606299213" header="0.31496062992125984" footer="0.31496062992125984"/>
  <pageSetup paperSize="9" scale="7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456A-E83F-4921-8380-97839BC72BFC}">
  <sheetPr>
    <pageSetUpPr fitToPage="1"/>
  </sheetPr>
  <dimension ref="A2:G42"/>
  <sheetViews>
    <sheetView topLeftCell="E2" zoomScaleNormal="100" workbookViewId="0">
      <selection activeCell="F2" sqref="F2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7.09765625" bestFit="1" customWidth="1"/>
    <col min="6" max="6" width="88.19921875" bestFit="1" customWidth="1"/>
    <col min="7" max="7" width="13.296875" customWidth="1"/>
  </cols>
  <sheetData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6" t="s">
        <v>5</v>
      </c>
    </row>
    <row r="3" spans="1:7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61</v>
      </c>
      <c r="G3" s="7">
        <v>5</v>
      </c>
    </row>
    <row r="4" spans="1:7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62</v>
      </c>
      <c r="G4" s="7">
        <v>5</v>
      </c>
    </row>
    <row r="5" spans="1:7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5" t="s">
        <v>63</v>
      </c>
      <c r="G5" s="7">
        <v>1</v>
      </c>
    </row>
    <row r="6" spans="1:7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57</v>
      </c>
      <c r="G6" s="7">
        <v>3</v>
      </c>
    </row>
    <row r="7" spans="1:7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1" t="s">
        <v>53</v>
      </c>
      <c r="G7" s="6">
        <v>2</v>
      </c>
    </row>
    <row r="8" spans="1:7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5" t="s">
        <v>64</v>
      </c>
      <c r="G8" s="7">
        <v>2</v>
      </c>
    </row>
    <row r="9" spans="1:7" x14ac:dyDescent="0.45">
      <c r="A9" s="3"/>
      <c r="B9" s="1"/>
      <c r="C9" s="4"/>
      <c r="D9" s="4"/>
      <c r="E9" s="2">
        <v>7</v>
      </c>
      <c r="F9" s="5" t="s">
        <v>28</v>
      </c>
      <c r="G9" s="7">
        <v>3</v>
      </c>
    </row>
    <row r="10" spans="1:7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26</v>
      </c>
      <c r="G10" s="7">
        <v>2.5</v>
      </c>
    </row>
    <row r="11" spans="1:7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27</v>
      </c>
      <c r="G11" s="7">
        <v>1</v>
      </c>
    </row>
    <row r="12" spans="1:7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1" t="s">
        <v>40</v>
      </c>
      <c r="G12" s="6">
        <v>2</v>
      </c>
    </row>
    <row r="13" spans="1:7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1" t="s">
        <v>43</v>
      </c>
      <c r="G13" s="6">
        <v>2</v>
      </c>
    </row>
    <row r="14" spans="1:7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1" t="s">
        <v>44</v>
      </c>
      <c r="G14" s="6">
        <v>2</v>
      </c>
    </row>
    <row r="15" spans="1:7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60</v>
      </c>
      <c r="G15" s="7">
        <v>2</v>
      </c>
    </row>
    <row r="16" spans="1:7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5" t="s">
        <v>18</v>
      </c>
      <c r="G16" s="7"/>
    </row>
    <row r="17" spans="1:7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5" t="s">
        <v>29</v>
      </c>
      <c r="G17" s="7"/>
    </row>
    <row r="18" spans="1:7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30</v>
      </c>
      <c r="G18" s="7"/>
    </row>
    <row r="19" spans="1:7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31</v>
      </c>
      <c r="G19" s="7"/>
    </row>
    <row r="20" spans="1:7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14</v>
      </c>
      <c r="G20" s="7"/>
    </row>
    <row r="21" spans="1:7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21</v>
      </c>
      <c r="G21" s="7"/>
    </row>
    <row r="22" spans="1:7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32</v>
      </c>
      <c r="G22" s="7"/>
    </row>
    <row r="23" spans="1:7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22</v>
      </c>
      <c r="G23" s="7"/>
    </row>
    <row r="24" spans="1:7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33</v>
      </c>
      <c r="G24" s="7"/>
    </row>
    <row r="25" spans="1:7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12</v>
      </c>
      <c r="G25" s="7"/>
    </row>
    <row r="26" spans="1:7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15</v>
      </c>
      <c r="G26" s="7"/>
    </row>
    <row r="27" spans="1:7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34</v>
      </c>
      <c r="G27" s="7"/>
    </row>
    <row r="28" spans="1:7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24</v>
      </c>
      <c r="G28" s="7"/>
    </row>
    <row r="29" spans="1:7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20</v>
      </c>
      <c r="G29" s="7"/>
    </row>
    <row r="30" spans="1:7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16</v>
      </c>
      <c r="G30" s="7"/>
    </row>
    <row r="31" spans="1:7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17</v>
      </c>
      <c r="G31" s="7"/>
    </row>
    <row r="32" spans="1:7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35</v>
      </c>
      <c r="G32" s="7"/>
    </row>
    <row r="33" spans="1:7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25</v>
      </c>
      <c r="G33" s="7"/>
    </row>
    <row r="34" spans="1:7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19</v>
      </c>
      <c r="G34" s="7"/>
    </row>
    <row r="35" spans="1:7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36</v>
      </c>
      <c r="G35" s="7"/>
    </row>
    <row r="36" spans="1:7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37</v>
      </c>
      <c r="G36" s="7"/>
    </row>
    <row r="37" spans="1:7" x14ac:dyDescent="0.45">
      <c r="A37" s="3">
        <v>45951</v>
      </c>
      <c r="B37" s="1" t="s">
        <v>7</v>
      </c>
      <c r="C37" s="4">
        <v>0.4375</v>
      </c>
      <c r="D37" s="4">
        <v>0.47916666666666669</v>
      </c>
      <c r="E37" s="2">
        <v>35</v>
      </c>
      <c r="F37" s="5" t="s">
        <v>13</v>
      </c>
      <c r="G37" s="7"/>
    </row>
    <row r="38" spans="1:7" x14ac:dyDescent="0.45">
      <c r="E38" s="2">
        <v>36</v>
      </c>
      <c r="F38" s="5" t="s">
        <v>11</v>
      </c>
      <c r="G38" s="7"/>
    </row>
    <row r="39" spans="1:7" x14ac:dyDescent="0.45">
      <c r="E39" s="2">
        <v>37</v>
      </c>
      <c r="F39" s="5"/>
      <c r="G39" s="7"/>
    </row>
    <row r="40" spans="1:7" x14ac:dyDescent="0.45">
      <c r="E40" s="2">
        <v>38</v>
      </c>
      <c r="F40" s="1"/>
      <c r="G40" s="6"/>
    </row>
    <row r="41" spans="1:7" x14ac:dyDescent="0.45">
      <c r="E41" s="2">
        <v>39</v>
      </c>
      <c r="F41" s="5"/>
      <c r="G41" s="7"/>
    </row>
    <row r="42" spans="1:7" x14ac:dyDescent="0.45">
      <c r="E42" s="2">
        <v>40</v>
      </c>
      <c r="F42" s="5"/>
      <c r="G42" s="7"/>
    </row>
  </sheetData>
  <phoneticPr fontId="1"/>
  <pageMargins left="0.70866141732283461" right="0.70866141732283461" top="0.74803149606299213" bottom="0.74803149606299213" header="0.31496062992125984" footer="0.31496062992125984"/>
  <pageSetup paperSize="9" scale="7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9D4A-9FCB-44E2-8860-487D5422A7FC}">
  <sheetPr>
    <pageSetUpPr fitToPage="1"/>
  </sheetPr>
  <dimension ref="A2:G42"/>
  <sheetViews>
    <sheetView topLeftCell="E1" zoomScaleNormal="100" workbookViewId="0">
      <selection activeCell="F7" sqref="F7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7.09765625" bestFit="1" customWidth="1"/>
    <col min="6" max="6" width="88.19921875" bestFit="1" customWidth="1"/>
    <col min="7" max="7" width="13.296875" customWidth="1"/>
  </cols>
  <sheetData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6" t="s">
        <v>5</v>
      </c>
    </row>
    <row r="3" spans="1:7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56</v>
      </c>
      <c r="G3" s="7">
        <v>3</v>
      </c>
    </row>
    <row r="4" spans="1:7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58</v>
      </c>
      <c r="G4" s="7">
        <v>3</v>
      </c>
    </row>
    <row r="5" spans="1:7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5" t="s">
        <v>57</v>
      </c>
      <c r="G5" s="7">
        <v>3</v>
      </c>
    </row>
    <row r="6" spans="1:7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1" t="s">
        <v>53</v>
      </c>
      <c r="G6" s="6">
        <v>2</v>
      </c>
    </row>
    <row r="7" spans="1:7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5" t="s">
        <v>59</v>
      </c>
      <c r="G7" s="7">
        <v>3</v>
      </c>
    </row>
    <row r="8" spans="1:7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5" t="s">
        <v>54</v>
      </c>
      <c r="G8" s="7">
        <v>0.5</v>
      </c>
    </row>
    <row r="9" spans="1:7" x14ac:dyDescent="0.45">
      <c r="A9" s="3"/>
      <c r="B9" s="1"/>
      <c r="C9" s="4"/>
      <c r="D9" s="4"/>
      <c r="E9" s="2">
        <v>7</v>
      </c>
      <c r="F9" s="5" t="s">
        <v>55</v>
      </c>
      <c r="G9" s="7">
        <v>1</v>
      </c>
    </row>
    <row r="10" spans="1:7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52</v>
      </c>
      <c r="G10" s="7">
        <v>2</v>
      </c>
    </row>
    <row r="11" spans="1:7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28</v>
      </c>
      <c r="G11" s="7">
        <v>3</v>
      </c>
    </row>
    <row r="12" spans="1:7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26</v>
      </c>
      <c r="G12" s="7">
        <v>2.5</v>
      </c>
    </row>
    <row r="13" spans="1:7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5" t="s">
        <v>27</v>
      </c>
      <c r="G13" s="7">
        <v>1</v>
      </c>
    </row>
    <row r="14" spans="1:7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1" t="s">
        <v>40</v>
      </c>
      <c r="G14" s="6">
        <v>2</v>
      </c>
    </row>
    <row r="15" spans="1:7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1" t="s">
        <v>47</v>
      </c>
      <c r="G15" s="6">
        <v>1</v>
      </c>
    </row>
    <row r="16" spans="1:7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1" t="s">
        <v>43</v>
      </c>
      <c r="G16" s="6">
        <v>2</v>
      </c>
    </row>
    <row r="17" spans="1:7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1" t="s">
        <v>44</v>
      </c>
      <c r="G17" s="6">
        <v>2</v>
      </c>
    </row>
    <row r="18" spans="1:7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5" t="s">
        <v>18</v>
      </c>
      <c r="G18" s="7"/>
    </row>
    <row r="19" spans="1:7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5" t="s">
        <v>29</v>
      </c>
      <c r="G19" s="7"/>
    </row>
    <row r="20" spans="1:7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30</v>
      </c>
      <c r="G20" s="7"/>
    </row>
    <row r="21" spans="1:7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31</v>
      </c>
      <c r="G21" s="7"/>
    </row>
    <row r="22" spans="1:7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14</v>
      </c>
      <c r="G22" s="7"/>
    </row>
    <row r="23" spans="1:7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21</v>
      </c>
      <c r="G23" s="7"/>
    </row>
    <row r="24" spans="1:7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32</v>
      </c>
      <c r="G24" s="7"/>
    </row>
    <row r="25" spans="1:7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22</v>
      </c>
      <c r="G25" s="7"/>
    </row>
    <row r="26" spans="1:7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33</v>
      </c>
      <c r="G26" s="7"/>
    </row>
    <row r="27" spans="1:7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12</v>
      </c>
      <c r="G27" s="7"/>
    </row>
    <row r="28" spans="1:7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15</v>
      </c>
      <c r="G28" s="7"/>
    </row>
    <row r="29" spans="1:7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34</v>
      </c>
      <c r="G29" s="7"/>
    </row>
    <row r="30" spans="1:7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24</v>
      </c>
      <c r="G30" s="7"/>
    </row>
    <row r="31" spans="1:7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20</v>
      </c>
      <c r="G31" s="7"/>
    </row>
    <row r="32" spans="1:7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16</v>
      </c>
      <c r="G32" s="7"/>
    </row>
    <row r="33" spans="1:7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17</v>
      </c>
      <c r="G33" s="7"/>
    </row>
    <row r="34" spans="1:7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35</v>
      </c>
      <c r="G34" s="7"/>
    </row>
    <row r="35" spans="1:7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25</v>
      </c>
      <c r="G35" s="7"/>
    </row>
    <row r="36" spans="1:7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19</v>
      </c>
      <c r="G36" s="7"/>
    </row>
    <row r="37" spans="1:7" x14ac:dyDescent="0.45">
      <c r="A37" s="3">
        <v>45951</v>
      </c>
      <c r="B37" s="1" t="s">
        <v>7</v>
      </c>
      <c r="C37" s="4">
        <v>0.4375</v>
      </c>
      <c r="D37" s="4">
        <v>0.47916666666666669</v>
      </c>
      <c r="E37" s="2">
        <v>35</v>
      </c>
      <c r="F37" s="5" t="s">
        <v>36</v>
      </c>
      <c r="G37" s="7"/>
    </row>
    <row r="38" spans="1:7" x14ac:dyDescent="0.45">
      <c r="E38" s="2">
        <v>36</v>
      </c>
      <c r="F38" s="5" t="s">
        <v>37</v>
      </c>
      <c r="G38" s="7"/>
    </row>
    <row r="39" spans="1:7" x14ac:dyDescent="0.45">
      <c r="E39" s="2">
        <v>37</v>
      </c>
      <c r="F39" s="5" t="s">
        <v>13</v>
      </c>
      <c r="G39" s="7"/>
    </row>
    <row r="40" spans="1:7" x14ac:dyDescent="0.45">
      <c r="E40" s="2">
        <v>38</v>
      </c>
      <c r="F40" s="5" t="s">
        <v>11</v>
      </c>
      <c r="G40" s="7"/>
    </row>
    <row r="41" spans="1:7" x14ac:dyDescent="0.45">
      <c r="E41" s="2">
        <v>39</v>
      </c>
      <c r="F41" s="5"/>
      <c r="G41" s="7"/>
    </row>
    <row r="42" spans="1:7" x14ac:dyDescent="0.45">
      <c r="E42" s="2">
        <v>40</v>
      </c>
      <c r="F42" s="5"/>
      <c r="G42" s="7"/>
    </row>
  </sheetData>
  <phoneticPr fontId="1"/>
  <pageMargins left="0.70866141732283461" right="0.70866141732283461" top="0.74803149606299213" bottom="0.74803149606299213" header="0.31496062992125984" footer="0.31496062992125984"/>
  <pageSetup paperSize="9" scale="7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58957-EE2E-4720-93D4-835343AC9C39}">
  <sheetPr>
    <pageSetUpPr fitToPage="1"/>
  </sheetPr>
  <dimension ref="A2:G42"/>
  <sheetViews>
    <sheetView topLeftCell="E1" zoomScaleNormal="100" workbookViewId="0">
      <selection activeCell="N12" sqref="N12"/>
    </sheetView>
  </sheetViews>
  <sheetFormatPr defaultRowHeight="18" x14ac:dyDescent="0.45"/>
  <cols>
    <col min="1" max="1" width="11.296875" hidden="1" customWidth="1"/>
    <col min="2" max="2" width="5.19921875" hidden="1" customWidth="1"/>
    <col min="3" max="4" width="6" hidden="1" customWidth="1"/>
    <col min="5" max="5" width="7.09765625" bestFit="1" customWidth="1"/>
    <col min="6" max="6" width="88.19921875" bestFit="1" customWidth="1"/>
    <col min="7" max="7" width="13.296875" customWidth="1"/>
  </cols>
  <sheetData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4</v>
      </c>
      <c r="G2" s="6" t="s">
        <v>5</v>
      </c>
    </row>
    <row r="3" spans="1:7" x14ac:dyDescent="0.45">
      <c r="A3" s="3">
        <v>45936</v>
      </c>
      <c r="B3" s="1" t="s">
        <v>6</v>
      </c>
      <c r="C3" s="4">
        <v>0.39583333333333331</v>
      </c>
      <c r="D3" s="4">
        <v>0.41666666666666669</v>
      </c>
      <c r="E3" s="2">
        <v>1</v>
      </c>
      <c r="F3" s="5" t="s">
        <v>39</v>
      </c>
      <c r="G3" s="7">
        <v>3</v>
      </c>
    </row>
    <row r="4" spans="1:7" x14ac:dyDescent="0.45">
      <c r="A4" s="3">
        <v>45936</v>
      </c>
      <c r="B4" s="1" t="s">
        <v>6</v>
      </c>
      <c r="C4" s="4">
        <v>0.41666666666666669</v>
      </c>
      <c r="D4" s="4">
        <v>0.51041666666666663</v>
      </c>
      <c r="E4" s="2">
        <v>2</v>
      </c>
      <c r="F4" s="5" t="s">
        <v>51</v>
      </c>
      <c r="G4" s="7">
        <v>0.5</v>
      </c>
    </row>
    <row r="5" spans="1:7" x14ac:dyDescent="0.45">
      <c r="A5" s="3">
        <v>45936</v>
      </c>
      <c r="B5" s="1" t="s">
        <v>6</v>
      </c>
      <c r="C5" s="4">
        <v>0.45833333333333331</v>
      </c>
      <c r="D5" s="4">
        <v>0.45833333333333331</v>
      </c>
      <c r="E5" s="2">
        <v>3</v>
      </c>
      <c r="F5" s="5" t="s">
        <v>48</v>
      </c>
      <c r="G5" s="7">
        <v>3</v>
      </c>
    </row>
    <row r="6" spans="1:7" x14ac:dyDescent="0.45">
      <c r="A6" s="3">
        <v>45936</v>
      </c>
      <c r="B6" s="1" t="s">
        <v>6</v>
      </c>
      <c r="C6" s="4">
        <v>0.51041666666666663</v>
      </c>
      <c r="D6" s="4">
        <v>0.55208333333333337</v>
      </c>
      <c r="E6" s="2">
        <v>4</v>
      </c>
      <c r="F6" s="5" t="s">
        <v>41</v>
      </c>
      <c r="G6" s="7">
        <v>1</v>
      </c>
    </row>
    <row r="7" spans="1:7" x14ac:dyDescent="0.45">
      <c r="A7" s="3">
        <v>45936</v>
      </c>
      <c r="B7" s="1" t="s">
        <v>6</v>
      </c>
      <c r="C7" s="4">
        <v>0.55208333333333337</v>
      </c>
      <c r="D7" s="4">
        <v>0.58333333333333337</v>
      </c>
      <c r="E7" s="2">
        <v>5</v>
      </c>
      <c r="F7" s="1" t="s">
        <v>50</v>
      </c>
      <c r="G7" s="6">
        <v>0.1</v>
      </c>
    </row>
    <row r="8" spans="1:7" x14ac:dyDescent="0.45">
      <c r="A8" s="3">
        <v>45936</v>
      </c>
      <c r="B8" s="1" t="s">
        <v>6</v>
      </c>
      <c r="C8" s="4">
        <v>0.59375</v>
      </c>
      <c r="D8" s="4">
        <v>0.63541666666666663</v>
      </c>
      <c r="E8" s="2">
        <v>6</v>
      </c>
      <c r="F8" s="5" t="s">
        <v>38</v>
      </c>
      <c r="G8" s="7">
        <v>3</v>
      </c>
    </row>
    <row r="9" spans="1:7" x14ac:dyDescent="0.45">
      <c r="A9" s="3"/>
      <c r="B9" s="1"/>
      <c r="C9" s="4"/>
      <c r="D9" s="4"/>
      <c r="E9" s="2">
        <v>7</v>
      </c>
      <c r="F9" s="5" t="s">
        <v>46</v>
      </c>
      <c r="G9" s="7">
        <v>2.5</v>
      </c>
    </row>
    <row r="10" spans="1:7" x14ac:dyDescent="0.45">
      <c r="A10" s="3">
        <v>45936</v>
      </c>
      <c r="B10" s="1" t="s">
        <v>6</v>
      </c>
      <c r="C10" s="4">
        <v>0.67708333333333337</v>
      </c>
      <c r="D10" s="4">
        <v>0.72916666666666663</v>
      </c>
      <c r="E10" s="2">
        <v>8</v>
      </c>
      <c r="F10" s="5" t="s">
        <v>45</v>
      </c>
      <c r="G10" s="7">
        <v>2</v>
      </c>
    </row>
    <row r="11" spans="1:7" x14ac:dyDescent="0.45">
      <c r="A11" s="3">
        <v>45937</v>
      </c>
      <c r="B11" s="1" t="s">
        <v>7</v>
      </c>
      <c r="C11" s="4">
        <v>0.39583333333333331</v>
      </c>
      <c r="D11" s="4">
        <v>0.53125</v>
      </c>
      <c r="E11" s="2">
        <v>9</v>
      </c>
      <c r="F11" s="5" t="s">
        <v>42</v>
      </c>
      <c r="G11" s="7">
        <v>8</v>
      </c>
    </row>
    <row r="12" spans="1:7" x14ac:dyDescent="0.45">
      <c r="A12" s="3">
        <v>45937</v>
      </c>
      <c r="B12" s="1" t="s">
        <v>7</v>
      </c>
      <c r="C12" s="4">
        <v>0.54166666666666663</v>
      </c>
      <c r="D12" s="4">
        <v>0.58333333333333337</v>
      </c>
      <c r="E12" s="2">
        <v>10</v>
      </c>
      <c r="F12" s="5" t="s">
        <v>49</v>
      </c>
      <c r="G12" s="7">
        <v>2</v>
      </c>
    </row>
    <row r="13" spans="1:7" x14ac:dyDescent="0.45">
      <c r="A13" s="3">
        <v>45937</v>
      </c>
      <c r="B13" s="1" t="s">
        <v>7</v>
      </c>
      <c r="C13" s="4">
        <v>0.58333333333333337</v>
      </c>
      <c r="D13" s="4">
        <v>0.78125</v>
      </c>
      <c r="E13" s="2">
        <v>11</v>
      </c>
      <c r="F13" s="5" t="s">
        <v>26</v>
      </c>
      <c r="G13" s="7">
        <v>2.5</v>
      </c>
    </row>
    <row r="14" spans="1:7" x14ac:dyDescent="0.45">
      <c r="A14" s="3">
        <v>45938</v>
      </c>
      <c r="B14" s="1" t="s">
        <v>8</v>
      </c>
      <c r="C14" s="4">
        <v>0.39583333333333331</v>
      </c>
      <c r="D14" s="4">
        <v>0.4375</v>
      </c>
      <c r="E14" s="2">
        <v>12</v>
      </c>
      <c r="F14" s="5" t="s">
        <v>27</v>
      </c>
      <c r="G14" s="7">
        <v>1</v>
      </c>
    </row>
    <row r="15" spans="1:7" x14ac:dyDescent="0.45">
      <c r="A15" s="3">
        <v>45938</v>
      </c>
      <c r="B15" s="1" t="s">
        <v>8</v>
      </c>
      <c r="C15" s="4">
        <v>0.4375</v>
      </c>
      <c r="D15" s="4">
        <v>0.47916666666666669</v>
      </c>
      <c r="E15" s="2">
        <v>13</v>
      </c>
      <c r="F15" s="5" t="s">
        <v>28</v>
      </c>
      <c r="G15" s="7">
        <v>3</v>
      </c>
    </row>
    <row r="16" spans="1:7" x14ac:dyDescent="0.45">
      <c r="A16" s="3">
        <v>45938</v>
      </c>
      <c r="B16" s="1" t="s">
        <v>8</v>
      </c>
      <c r="C16" s="4">
        <v>0.51041666666666663</v>
      </c>
      <c r="D16" s="4">
        <v>0.55208333333333337</v>
      </c>
      <c r="E16" s="2">
        <v>14</v>
      </c>
      <c r="F16" s="1" t="s">
        <v>40</v>
      </c>
      <c r="G16" s="6">
        <v>2</v>
      </c>
    </row>
    <row r="17" spans="1:7" x14ac:dyDescent="0.45">
      <c r="A17" s="3">
        <v>45938</v>
      </c>
      <c r="B17" s="1" t="s">
        <v>8</v>
      </c>
      <c r="C17" s="4">
        <v>0.58333333333333337</v>
      </c>
      <c r="D17" s="4">
        <v>0.625</v>
      </c>
      <c r="E17" s="2">
        <v>15</v>
      </c>
      <c r="F17" s="1" t="s">
        <v>47</v>
      </c>
      <c r="G17" s="6">
        <v>1</v>
      </c>
    </row>
    <row r="18" spans="1:7" x14ac:dyDescent="0.45">
      <c r="A18" s="3">
        <v>45938</v>
      </c>
      <c r="B18" s="1" t="s">
        <v>8</v>
      </c>
      <c r="C18" s="4">
        <v>0.63541666666666663</v>
      </c>
      <c r="D18" s="4">
        <v>0.67708333333333337</v>
      </c>
      <c r="E18" s="2">
        <v>16</v>
      </c>
      <c r="F18" s="1" t="s">
        <v>43</v>
      </c>
      <c r="G18" s="6">
        <v>2</v>
      </c>
    </row>
    <row r="19" spans="1:7" x14ac:dyDescent="0.45">
      <c r="A19" s="3">
        <v>45938</v>
      </c>
      <c r="B19" s="1" t="s">
        <v>8</v>
      </c>
      <c r="C19" s="4">
        <v>0.67708333333333337</v>
      </c>
      <c r="D19" s="4">
        <v>0.80208333333333337</v>
      </c>
      <c r="E19" s="2">
        <v>17</v>
      </c>
      <c r="F19" s="1" t="s">
        <v>44</v>
      </c>
      <c r="G19" s="6">
        <v>2</v>
      </c>
    </row>
    <row r="20" spans="1:7" x14ac:dyDescent="0.45">
      <c r="A20" s="3">
        <v>45939</v>
      </c>
      <c r="B20" s="1" t="s">
        <v>9</v>
      </c>
      <c r="C20" s="4">
        <v>0.39583333333333331</v>
      </c>
      <c r="D20" s="4">
        <v>0.47916666666666669</v>
      </c>
      <c r="E20" s="2">
        <v>18</v>
      </c>
      <c r="F20" s="5" t="s">
        <v>18</v>
      </c>
      <c r="G20" s="7"/>
    </row>
    <row r="21" spans="1:7" x14ac:dyDescent="0.45">
      <c r="A21" s="3">
        <v>45939</v>
      </c>
      <c r="B21" s="1" t="s">
        <v>9</v>
      </c>
      <c r="C21" s="4">
        <v>0.51041666666666663</v>
      </c>
      <c r="D21" s="4">
        <v>0.60416666666666663</v>
      </c>
      <c r="E21" s="2">
        <v>19</v>
      </c>
      <c r="F21" s="5" t="s">
        <v>29</v>
      </c>
      <c r="G21" s="7"/>
    </row>
    <row r="22" spans="1:7" x14ac:dyDescent="0.45">
      <c r="A22" s="3">
        <v>45939</v>
      </c>
      <c r="B22" s="1" t="s">
        <v>9</v>
      </c>
      <c r="C22" s="4">
        <v>0.625</v>
      </c>
      <c r="D22" s="4">
        <v>0.66666666666666663</v>
      </c>
      <c r="E22" s="2">
        <v>20</v>
      </c>
      <c r="F22" s="5" t="s">
        <v>30</v>
      </c>
      <c r="G22" s="7"/>
    </row>
    <row r="23" spans="1:7" x14ac:dyDescent="0.45">
      <c r="A23" s="3">
        <v>45940</v>
      </c>
      <c r="B23" s="1" t="s">
        <v>10</v>
      </c>
      <c r="C23" s="4">
        <v>0.40625</v>
      </c>
      <c r="D23" s="4">
        <v>0.44791666666666669</v>
      </c>
      <c r="E23" s="2">
        <v>21</v>
      </c>
      <c r="F23" s="5" t="s">
        <v>31</v>
      </c>
      <c r="G23" s="7"/>
    </row>
    <row r="24" spans="1:7" x14ac:dyDescent="0.45">
      <c r="A24" s="3">
        <v>45940</v>
      </c>
      <c r="B24" s="1" t="s">
        <v>10</v>
      </c>
      <c r="C24" s="4">
        <v>0.53125</v>
      </c>
      <c r="D24" s="4">
        <v>0.57291666666666663</v>
      </c>
      <c r="E24" s="2">
        <v>22</v>
      </c>
      <c r="F24" s="5" t="s">
        <v>14</v>
      </c>
      <c r="G24" s="7"/>
    </row>
    <row r="25" spans="1:7" x14ac:dyDescent="0.45">
      <c r="A25" s="3">
        <v>45943</v>
      </c>
      <c r="B25" s="1" t="s">
        <v>6</v>
      </c>
      <c r="C25" s="4">
        <v>0.39583333333333331</v>
      </c>
      <c r="D25" s="4">
        <v>0.41666666666666669</v>
      </c>
      <c r="E25" s="2">
        <v>23</v>
      </c>
      <c r="F25" s="5" t="s">
        <v>21</v>
      </c>
      <c r="G25" s="7"/>
    </row>
    <row r="26" spans="1:7" x14ac:dyDescent="0.45">
      <c r="A26" s="3">
        <v>45943</v>
      </c>
      <c r="B26" s="1" t="s">
        <v>6</v>
      </c>
      <c r="C26" s="4">
        <v>0.45833333333333331</v>
      </c>
      <c r="D26" s="4">
        <v>0.45833333333333331</v>
      </c>
      <c r="E26" s="2">
        <v>24</v>
      </c>
      <c r="F26" s="5" t="s">
        <v>32</v>
      </c>
      <c r="G26" s="7"/>
    </row>
    <row r="27" spans="1:7" x14ac:dyDescent="0.45">
      <c r="A27" s="3">
        <v>45943</v>
      </c>
      <c r="B27" s="1" t="s">
        <v>6</v>
      </c>
      <c r="C27" s="4">
        <v>0.625</v>
      </c>
      <c r="D27" s="4">
        <v>0.64583333333333337</v>
      </c>
      <c r="E27" s="2">
        <v>25</v>
      </c>
      <c r="F27" s="5" t="s">
        <v>22</v>
      </c>
      <c r="G27" s="7"/>
    </row>
    <row r="28" spans="1:7" x14ac:dyDescent="0.45">
      <c r="A28" s="3">
        <v>45946</v>
      </c>
      <c r="B28" s="1" t="s">
        <v>9</v>
      </c>
      <c r="C28" s="4">
        <v>0.54166666666666663</v>
      </c>
      <c r="D28" s="4">
        <v>0.58333333333333337</v>
      </c>
      <c r="E28" s="2">
        <v>26</v>
      </c>
      <c r="F28" s="5" t="s">
        <v>33</v>
      </c>
      <c r="G28" s="7"/>
    </row>
    <row r="29" spans="1:7" x14ac:dyDescent="0.45">
      <c r="A29" s="3">
        <v>45950</v>
      </c>
      <c r="B29" s="1" t="s">
        <v>6</v>
      </c>
      <c r="C29" s="4">
        <v>0.39583333333333331</v>
      </c>
      <c r="D29" s="4">
        <v>0.41666666666666669</v>
      </c>
      <c r="E29" s="2">
        <v>27</v>
      </c>
      <c r="F29" s="5" t="s">
        <v>12</v>
      </c>
      <c r="G29" s="7"/>
    </row>
    <row r="30" spans="1:7" x14ac:dyDescent="0.45">
      <c r="A30" s="3">
        <v>45950</v>
      </c>
      <c r="B30" s="1" t="s">
        <v>6</v>
      </c>
      <c r="C30" s="4">
        <v>0.39583333333333331</v>
      </c>
      <c r="D30" s="4">
        <v>0.4375</v>
      </c>
      <c r="E30" s="2">
        <v>28</v>
      </c>
      <c r="F30" s="5" t="s">
        <v>15</v>
      </c>
      <c r="G30" s="7"/>
    </row>
    <row r="31" spans="1:7" x14ac:dyDescent="0.45">
      <c r="A31" s="3">
        <v>45950</v>
      </c>
      <c r="B31" s="1" t="s">
        <v>6</v>
      </c>
      <c r="C31" s="4">
        <v>0.45833333333333331</v>
      </c>
      <c r="D31" s="4">
        <v>0.45833333333333331</v>
      </c>
      <c r="E31" s="2">
        <v>29</v>
      </c>
      <c r="F31" s="5" t="s">
        <v>34</v>
      </c>
      <c r="G31" s="7"/>
    </row>
    <row r="32" spans="1:7" x14ac:dyDescent="0.45">
      <c r="A32" s="3">
        <v>45950</v>
      </c>
      <c r="B32" s="1" t="s">
        <v>6</v>
      </c>
      <c r="C32" s="4">
        <v>0.52083333333333337</v>
      </c>
      <c r="D32" s="4">
        <v>0.5625</v>
      </c>
      <c r="E32" s="2">
        <v>30</v>
      </c>
      <c r="F32" s="5" t="s">
        <v>24</v>
      </c>
      <c r="G32" s="7"/>
    </row>
    <row r="33" spans="1:7" x14ac:dyDescent="0.45">
      <c r="A33" s="3">
        <v>45950</v>
      </c>
      <c r="B33" s="1" t="s">
        <v>6</v>
      </c>
      <c r="C33" s="4">
        <v>0.58333333333333337</v>
      </c>
      <c r="D33" s="4">
        <v>0.625</v>
      </c>
      <c r="E33" s="2">
        <v>31</v>
      </c>
      <c r="F33" s="5" t="s">
        <v>20</v>
      </c>
      <c r="G33" s="7"/>
    </row>
    <row r="34" spans="1:7" x14ac:dyDescent="0.45">
      <c r="A34" s="3">
        <v>45950</v>
      </c>
      <c r="B34" s="1" t="s">
        <v>6</v>
      </c>
      <c r="C34" s="4">
        <v>0.64583333333333337</v>
      </c>
      <c r="D34" s="4">
        <v>0.6875</v>
      </c>
      <c r="E34" s="2">
        <v>32</v>
      </c>
      <c r="F34" s="5" t="s">
        <v>16</v>
      </c>
      <c r="G34" s="7"/>
    </row>
    <row r="35" spans="1:7" x14ac:dyDescent="0.45">
      <c r="A35" s="3">
        <v>45950</v>
      </c>
      <c r="B35" s="1" t="s">
        <v>6</v>
      </c>
      <c r="C35" s="4">
        <v>0.6875</v>
      </c>
      <c r="D35" s="4">
        <v>0.72916666666666663</v>
      </c>
      <c r="E35" s="2">
        <v>33</v>
      </c>
      <c r="F35" s="5" t="s">
        <v>17</v>
      </c>
      <c r="G35" s="7"/>
    </row>
    <row r="36" spans="1:7" x14ac:dyDescent="0.45">
      <c r="A36" s="3">
        <v>45951</v>
      </c>
      <c r="B36" s="1" t="s">
        <v>7</v>
      </c>
      <c r="C36" s="4">
        <v>0.375</v>
      </c>
      <c r="D36" s="4">
        <v>0.41666666666666669</v>
      </c>
      <c r="E36" s="2">
        <v>34</v>
      </c>
      <c r="F36" s="5" t="s">
        <v>35</v>
      </c>
      <c r="G36" s="7"/>
    </row>
    <row r="37" spans="1:7" x14ac:dyDescent="0.45">
      <c r="A37" s="3">
        <v>45951</v>
      </c>
      <c r="B37" s="1" t="s">
        <v>7</v>
      </c>
      <c r="C37" s="4">
        <v>0.4375</v>
      </c>
      <c r="D37" s="4">
        <v>0.47916666666666669</v>
      </c>
      <c r="E37" s="2">
        <v>35</v>
      </c>
      <c r="F37" s="5" t="s">
        <v>25</v>
      </c>
      <c r="G37" s="7"/>
    </row>
    <row r="38" spans="1:7" x14ac:dyDescent="0.45">
      <c r="E38" s="2">
        <v>36</v>
      </c>
      <c r="F38" s="5" t="s">
        <v>19</v>
      </c>
      <c r="G38" s="7"/>
    </row>
    <row r="39" spans="1:7" x14ac:dyDescent="0.45">
      <c r="E39" s="2">
        <v>37</v>
      </c>
      <c r="F39" s="5" t="s">
        <v>36</v>
      </c>
      <c r="G39" s="7"/>
    </row>
    <row r="40" spans="1:7" x14ac:dyDescent="0.45">
      <c r="E40" s="2">
        <v>38</v>
      </c>
      <c r="F40" s="5" t="s">
        <v>37</v>
      </c>
      <c r="G40" s="7"/>
    </row>
    <row r="41" spans="1:7" x14ac:dyDescent="0.45">
      <c r="E41" s="2">
        <v>39</v>
      </c>
      <c r="F41" s="5" t="s">
        <v>13</v>
      </c>
      <c r="G41" s="7"/>
    </row>
    <row r="42" spans="1:7" x14ac:dyDescent="0.45">
      <c r="E42" s="2">
        <v>40</v>
      </c>
      <c r="F42" s="5" t="s">
        <v>11</v>
      </c>
      <c r="G42" s="7"/>
    </row>
  </sheetData>
  <phoneticPr fontId="1"/>
  <pageMargins left="0.70866141732283461" right="0.70866141732283461" top="0.74803149606299213" bottom="0.74803149606299213" header="0.31496062992125984" footer="0.31496062992125984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8</vt:i4>
      </vt:variant>
    </vt:vector>
  </HeadingPairs>
  <TitlesOfParts>
    <vt:vector size="31" baseType="lpstr">
      <vt:lpstr>26-07-27</vt:lpstr>
      <vt:lpstr>26-07-20</vt:lpstr>
      <vt:lpstr>26-07-13</vt:lpstr>
      <vt:lpstr>26-07-06</vt:lpstr>
      <vt:lpstr>26-07-01</vt:lpstr>
      <vt:lpstr>26-06-22</vt:lpstr>
      <vt:lpstr>26-06-08</vt:lpstr>
      <vt:lpstr>26-06-01</vt:lpstr>
      <vt:lpstr>26-05-25</vt:lpstr>
      <vt:lpstr>26-05-11</vt:lpstr>
      <vt:lpstr>26-04-14</vt:lpstr>
      <vt:lpstr>26-04-06</vt:lpstr>
      <vt:lpstr>26-03-30</vt:lpstr>
      <vt:lpstr>26-03-23</vt:lpstr>
      <vt:lpstr>26-03-16</vt:lpstr>
      <vt:lpstr>26-03-04</vt:lpstr>
      <vt:lpstr>26-01-13</vt:lpstr>
      <vt:lpstr>26-01-05</vt:lpstr>
      <vt:lpstr>25-12-15</vt:lpstr>
      <vt:lpstr>25-12-08</vt:lpstr>
      <vt:lpstr>25-12-01</vt:lpstr>
      <vt:lpstr>25-11-25</vt:lpstr>
      <vt:lpstr>25-11-14</vt:lpstr>
      <vt:lpstr>'25-11-14'!Print_Area</vt:lpstr>
      <vt:lpstr>'25-11-25'!Print_Area</vt:lpstr>
      <vt:lpstr>'25-12-01'!Print_Area</vt:lpstr>
      <vt:lpstr>'25-12-08'!Print_Area</vt:lpstr>
      <vt:lpstr>'25-12-15'!Print_Area</vt:lpstr>
      <vt:lpstr>'26-01-05'!Print_Area</vt:lpstr>
      <vt:lpstr>'26-01-13'!Print_Area</vt:lpstr>
      <vt:lpstr>'26-03-04'!Print_Area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大阪ＳＮＪ新日本海商事</dc:creator>
  <cp:lastModifiedBy>大阪ＳＮＪ新日本海商事</cp:lastModifiedBy>
  <cp:lastPrinted>2026-07-27T23:17:48Z</cp:lastPrinted>
  <dcterms:created xsi:type="dcterms:W3CDTF">2025-10-06T00:18:26Z</dcterms:created>
  <dcterms:modified xsi:type="dcterms:W3CDTF">2026-07-28T04:52:08Z</dcterms:modified>
</cp:coreProperties>
</file>