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&quot;時間/月&quot;"/>
    <numFmt numFmtId="165" formatCode="0&quot;千円&quot;"/>
    <numFmt numFmtId="166" formatCode="0.0&quot;時間/月&quot;;\-0.0&quot;時間/月&quot;;\－"/>
    <numFmt numFmtId="167" formatCode="0&quot;千円&quot;;\-0&quot;千円&quot;;\－"/>
    <numFmt numFmtId="168" formatCode="0&quot;時間&quot;"/>
    <numFmt numFmtId="169" formatCode="0&quot;時間&quot;;\-0&quot;時間&quot;;\－"/>
  </numFmts>
  <fonts count="10">
    <font>
      <name val="Meiryo UI"/>
      <charset val="128"/>
      <family val="2"/>
      <color theme="1"/>
      <sz val="11"/>
    </font>
    <font>
      <name val="Meiryo UI"/>
      <family val="0"/>
      <sz val="10"/>
    </font>
    <font>
      <name val="Meiryo UI"/>
      <family val="0"/>
      <sz val="10"/>
    </font>
    <font>
      <name val="Meiryo UI"/>
      <family val="0"/>
      <sz val="10"/>
    </font>
    <font>
      <name val="Meiryo UI"/>
      <charset val="128"/>
      <family val="3"/>
      <color theme="1"/>
      <sz val="11"/>
    </font>
    <font>
      <name val="Meiryo UI"/>
      <family val="2"/>
      <color theme="1"/>
      <sz val="11"/>
    </font>
    <font>
      <name val="Meiryo UI"/>
      <charset val="1"/>
      <family val="0"/>
      <color theme="1"/>
      <sz val="11"/>
    </font>
    <font>
      <name val="Meiryo UI"/>
      <family val="2"/>
      <b val="1"/>
      <color theme="1"/>
      <sz val="11"/>
    </font>
    <font>
      <name val="Meiryo UI"/>
      <charset val="1"/>
      <family val="0"/>
      <sz val="11"/>
    </font>
    <font>
      <name val="Meiryo UI"/>
      <charset val="1"/>
      <family val="0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/>
    </xf>
    <xf numFmtId="164" fontId="6" fillId="0" borderId="1" applyAlignment="1" pivotButton="0" quotePrefix="0" xfId="0">
      <alignment horizontal="general" vertical="center"/>
    </xf>
    <xf numFmtId="165" fontId="6" fillId="0" borderId="1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164" fontId="6" fillId="0" borderId="2" applyAlignment="1" pivotButton="0" quotePrefix="0" xfId="0">
      <alignment horizontal="general" vertical="center"/>
    </xf>
    <xf numFmtId="165" fontId="6" fillId="0" borderId="2" applyAlignment="1" pivotButton="0" quotePrefix="0" xfId="0">
      <alignment horizontal="general" vertical="center"/>
    </xf>
    <xf numFmtId="0" fontId="5" fillId="0" borderId="3" applyAlignment="1" pivotButton="0" quotePrefix="0" xfId="0">
      <alignment horizontal="general" vertical="center"/>
    </xf>
    <xf numFmtId="164" fontId="6" fillId="0" borderId="3" applyAlignment="1" pivotButton="0" quotePrefix="0" xfId="0">
      <alignment horizontal="general" vertical="center"/>
    </xf>
    <xf numFmtId="165" fontId="6" fillId="0" borderId="3" applyAlignment="1" pivotButton="0" quotePrefix="0" xfId="0">
      <alignment horizontal="general" vertical="center"/>
    </xf>
    <xf numFmtId="0" fontId="5" fillId="0" borderId="2" applyAlignment="1" pivotButton="0" quotePrefix="0" xfId="0">
      <alignment horizontal="general" vertical="center"/>
    </xf>
    <xf numFmtId="166" fontId="6" fillId="0" borderId="2" applyAlignment="1" pivotButton="0" quotePrefix="0" xfId="0">
      <alignment horizontal="general" vertical="center"/>
    </xf>
    <xf numFmtId="167" fontId="6" fillId="0" borderId="2" applyAlignment="1" pivotButton="0" quotePrefix="0" xfId="0">
      <alignment horizontal="general" vertical="center"/>
    </xf>
    <xf numFmtId="166" fontId="6" fillId="0" borderId="3" applyAlignment="1" pivotButton="0" quotePrefix="0" xfId="0">
      <alignment horizontal="general" vertical="center"/>
    </xf>
    <xf numFmtId="167" fontId="6" fillId="0" borderId="3" applyAlignment="1" pivotButton="0" quotePrefix="0" xfId="0">
      <alignment horizontal="general" vertical="center"/>
    </xf>
    <xf numFmtId="165" fontId="9" fillId="0" borderId="1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3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9" pivotButton="0" quotePrefix="0" xfId="0"/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center"/>
    </xf>
    <xf numFmtId="168" fontId="6" fillId="0" borderId="1" applyAlignment="1" pivotButton="0" quotePrefix="0" xfId="0">
      <alignment horizontal="general" vertical="center"/>
    </xf>
    <xf numFmtId="165" fontId="6" fillId="0" borderId="1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168" fontId="6" fillId="0" borderId="2" applyAlignment="1" pivotButton="0" quotePrefix="0" xfId="0">
      <alignment horizontal="general" vertical="center"/>
    </xf>
    <xf numFmtId="165" fontId="6" fillId="0" borderId="2" applyAlignment="1" pivotButton="0" quotePrefix="0" xfId="0">
      <alignment horizontal="general" vertical="center"/>
    </xf>
    <xf numFmtId="0" fontId="5" fillId="0" borderId="3" applyAlignment="1" pivotButton="0" quotePrefix="0" xfId="0">
      <alignment horizontal="general" vertical="center"/>
    </xf>
    <xf numFmtId="168" fontId="6" fillId="0" borderId="3" applyAlignment="1" pivotButton="0" quotePrefix="0" xfId="0">
      <alignment horizontal="general" vertical="center"/>
    </xf>
    <xf numFmtId="165" fontId="6" fillId="0" borderId="3" applyAlignment="1" pivotButton="0" quotePrefix="0" xfId="0">
      <alignment horizontal="general" vertical="center"/>
    </xf>
    <xf numFmtId="0" fontId="5" fillId="0" borderId="2" applyAlignment="1" pivotButton="0" quotePrefix="0" xfId="0">
      <alignment horizontal="general" vertical="center"/>
    </xf>
    <xf numFmtId="169" fontId="6" fillId="0" borderId="2" applyAlignment="1" pivotButton="0" quotePrefix="0" xfId="0">
      <alignment horizontal="general" vertical="center"/>
    </xf>
    <xf numFmtId="167" fontId="6" fillId="0" borderId="2" applyAlignment="1" pivotButton="0" quotePrefix="0" xfId="0">
      <alignment horizontal="general" vertical="center"/>
    </xf>
    <xf numFmtId="169" fontId="6" fillId="0" borderId="3" applyAlignment="1" pivotButton="0" quotePrefix="0" xfId="0">
      <alignment horizontal="general" vertical="center"/>
    </xf>
    <xf numFmtId="167" fontId="6" fillId="0" borderId="3" applyAlignment="1" pivotButton="0" quotePrefix="0" xfId="0">
      <alignment horizontal="general" vertical="center"/>
    </xf>
    <xf numFmtId="165" fontId="9" fillId="0" borderId="1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11" activeCellId="0" sqref="F11"/>
    </sheetView>
  </sheetViews>
  <sheetFormatPr baseColWidth="8" defaultColWidth="8.80078125" defaultRowHeight="18" zeroHeight="0" outlineLevelRow="0"/>
  <cols>
    <col width="28.1" customWidth="1" style="24" min="1" max="1"/>
    <col width="11.6" customWidth="1" style="24" min="2" max="2"/>
    <col width="11.3" customWidth="1" style="24" min="3" max="3"/>
    <col width="12.4" customWidth="1" style="24" min="4" max="4"/>
    <col width="9.6" customWidth="1" style="24" min="5" max="5"/>
    <col width="12.4" customWidth="1" style="24" min="6" max="6"/>
    <col width="9.6" customWidth="1" style="24" min="7" max="7"/>
    <col width="8.800000000000001" customWidth="1" style="24" min="8" max="16384"/>
  </cols>
  <sheetData>
    <row r="1" ht="18" customHeight="1" s="25">
      <c r="A1" s="26" t="inlineStr">
        <is>
          <t>別紙1　効果の金額換算（項目別内訳）　当初計画／1年目実績／2年目計画</t>
        </is>
      </c>
      <c r="B1" s="27" t="n"/>
      <c r="C1" s="27" t="n"/>
      <c r="D1" s="27" t="n"/>
      <c r="E1" s="27" t="n"/>
      <c r="F1" s="27" t="n"/>
      <c r="G1" s="27" t="n"/>
      <c r="H1" s="27" t="n"/>
    </row>
    <row r="2" ht="18" customHeight="1" s="25">
      <c r="A2" s="28" t="n"/>
      <c r="B2" s="29" t="inlineStr">
        <is>
          <t>当初計画</t>
        </is>
      </c>
      <c r="C2" s="30" t="n"/>
      <c r="D2" s="29" t="inlineStr">
        <is>
          <t>１年目実績</t>
        </is>
      </c>
      <c r="E2" s="30" t="n"/>
      <c r="F2" s="29" t="inlineStr">
        <is>
          <t>２年目計画</t>
        </is>
      </c>
      <c r="G2" s="30" t="n"/>
      <c r="H2" s="27" t="n"/>
    </row>
    <row r="3" ht="18" customHeight="1" s="25">
      <c r="A3" s="31" t="n"/>
      <c r="B3" s="29" t="inlineStr">
        <is>
          <t>手作業の総時間</t>
        </is>
      </c>
      <c r="C3" s="29" t="inlineStr">
        <is>
          <t>金額換算</t>
        </is>
      </c>
      <c r="D3" s="29" t="inlineStr">
        <is>
          <t>手作業の総時間</t>
        </is>
      </c>
      <c r="E3" s="29" t="inlineStr">
        <is>
          <t>金額換算</t>
        </is>
      </c>
      <c r="F3" s="29" t="inlineStr">
        <is>
          <t>手作業の総時間</t>
        </is>
      </c>
      <c r="G3" s="29" t="inlineStr">
        <is>
          <t>金額換算</t>
        </is>
      </c>
      <c r="H3" s="27" t="n"/>
    </row>
    <row r="4" ht="18" customHeight="1" s="25">
      <c r="A4" s="32" t="inlineStr">
        <is>
          <t>１．名刺取り込み</t>
        </is>
      </c>
      <c r="B4" s="33" t="n"/>
      <c r="C4" s="33" t="n"/>
      <c r="D4" s="33" t="n"/>
      <c r="E4" s="33" t="n"/>
      <c r="F4" s="33" t="n"/>
      <c r="G4" s="30" t="n"/>
      <c r="H4" s="34" t="n"/>
    </row>
    <row r="5" ht="18" customHeight="1" s="25">
      <c r="A5" s="35" t="inlineStr">
        <is>
          <t>名刺/メール署名取込</t>
        </is>
      </c>
      <c r="B5" s="36" t="n">
        <v>180</v>
      </c>
      <c r="C5" s="37">
        <f>B5*1500/1000</f>
        <v/>
      </c>
      <c r="D5" s="36" t="n">
        <v>234</v>
      </c>
      <c r="E5" s="37">
        <f>D5*1500/1000</f>
        <v/>
      </c>
      <c r="F5" s="36" t="n">
        <v>150</v>
      </c>
      <c r="G5" s="37">
        <f>F5*1500/1000</f>
        <v/>
      </c>
      <c r="H5" s="34" t="n"/>
    </row>
    <row r="6" ht="18" customHeight="1" s="25">
      <c r="A6" s="38" t="inlineStr">
        <is>
          <t>EEZO法人会員情報取込</t>
        </is>
      </c>
      <c r="B6" s="39" t="n">
        <v>60</v>
      </c>
      <c r="C6" s="40">
        <f>B6*1500/1000</f>
        <v/>
      </c>
      <c r="D6" s="39" t="n">
        <v>0</v>
      </c>
      <c r="E6" s="40">
        <f>D6*1500/1000</f>
        <v/>
      </c>
      <c r="F6" s="39" t="n">
        <v>60</v>
      </c>
      <c r="G6" s="40">
        <f>F6*1500/1000</f>
        <v/>
      </c>
      <c r="H6" s="34" t="n"/>
    </row>
    <row r="7" ht="18" customHeight="1" s="25">
      <c r="A7" s="41" t="inlineStr">
        <is>
          <t>小計</t>
        </is>
      </c>
      <c r="B7" s="42">
        <f>SUM(B5:B6)</f>
        <v/>
      </c>
      <c r="C7" s="43">
        <f>SUM(C5:C6)</f>
        <v/>
      </c>
      <c r="D7" s="42">
        <f>SUM(D5:D6)</f>
        <v/>
      </c>
      <c r="E7" s="43">
        <f>SUM(E5:E6)</f>
        <v/>
      </c>
      <c r="F7" s="42">
        <f>SUM(F5:F6)</f>
        <v/>
      </c>
      <c r="G7" s="43">
        <f>SUM(G5:G6)</f>
        <v/>
      </c>
      <c r="H7" s="34" t="n"/>
    </row>
    <row r="8" ht="18" customHeight="1" s="25">
      <c r="A8" s="32" t="inlineStr">
        <is>
          <t>２．営業管理・データ分析</t>
        </is>
      </c>
      <c r="B8" s="33" t="n"/>
      <c r="C8" s="33" t="n"/>
      <c r="D8" s="33" t="n"/>
      <c r="E8" s="33" t="n"/>
      <c r="F8" s="33" t="n"/>
      <c r="G8" s="30" t="n"/>
      <c r="H8" s="34" t="n"/>
    </row>
    <row r="9" ht="18" customHeight="1" s="25">
      <c r="A9" s="35" t="inlineStr">
        <is>
          <t>名刺情報のアップデート</t>
        </is>
      </c>
      <c r="B9" s="36" t="n">
        <v>24</v>
      </c>
      <c r="C9" s="37">
        <f>B9*1500/1000</f>
        <v/>
      </c>
      <c r="D9" s="36" t="n">
        <v>24</v>
      </c>
      <c r="E9" s="37">
        <f>D9*1500/1000</f>
        <v/>
      </c>
      <c r="F9" s="36" t="n">
        <v>24</v>
      </c>
      <c r="G9" s="37">
        <f>F9*1500/1000</f>
        <v/>
      </c>
      <c r="H9" s="34" t="n"/>
    </row>
    <row r="10" ht="18" customHeight="1" s="25">
      <c r="A10" s="35" t="inlineStr">
        <is>
          <t>見込客管理</t>
        </is>
      </c>
      <c r="B10" s="36" t="n">
        <v>60</v>
      </c>
      <c r="C10" s="37">
        <f>B10*1500/1000</f>
        <v/>
      </c>
      <c r="D10" s="36" t="n">
        <v>60</v>
      </c>
      <c r="E10" s="37">
        <f>D10*1500/1000</f>
        <v/>
      </c>
      <c r="F10" s="36" t="n">
        <v>60</v>
      </c>
      <c r="G10" s="37">
        <f>F10*1500/1000</f>
        <v/>
      </c>
      <c r="H10" s="34" t="n"/>
    </row>
    <row r="11" ht="18" customHeight="1" s="25">
      <c r="A11" s="35" t="inlineStr">
        <is>
          <t>受注進捗管理</t>
        </is>
      </c>
      <c r="B11" s="36" t="n">
        <v>60</v>
      </c>
      <c r="C11" s="37">
        <f>B11*1500/1000</f>
        <v/>
      </c>
      <c r="D11" s="36" t="n">
        <v>54</v>
      </c>
      <c r="E11" s="37">
        <f>D11*1500/1000</f>
        <v/>
      </c>
      <c r="F11" s="36" t="n">
        <v>60</v>
      </c>
      <c r="G11" s="37">
        <f>F11*1500/1000</f>
        <v/>
      </c>
      <c r="H11" s="34" t="n"/>
    </row>
    <row r="12" ht="18" customHeight="1" s="25">
      <c r="A12" s="44" t="inlineStr">
        <is>
          <t>データ分析・BI</t>
        </is>
      </c>
      <c r="B12" s="39" t="n">
        <v>36</v>
      </c>
      <c r="C12" s="40">
        <f>B12*4000/1000</f>
        <v/>
      </c>
      <c r="D12" s="39" t="n">
        <v>60</v>
      </c>
      <c r="E12" s="40">
        <f>D12*4000/1000</f>
        <v/>
      </c>
      <c r="F12" s="39" t="n">
        <v>60</v>
      </c>
      <c r="G12" s="40">
        <f>F12*4000/1000</f>
        <v/>
      </c>
      <c r="H12" s="34" t="n"/>
    </row>
    <row r="13" ht="18" customHeight="1" s="25">
      <c r="A13" s="41" t="inlineStr">
        <is>
          <t>小計</t>
        </is>
      </c>
      <c r="B13" s="42">
        <f>SUM(B9:B12)</f>
        <v/>
      </c>
      <c r="C13" s="43">
        <f>SUM(C9:C12)</f>
        <v/>
      </c>
      <c r="D13" s="42">
        <f>SUM(D9:D12)</f>
        <v/>
      </c>
      <c r="E13" s="43">
        <f>SUM(E9:E12)</f>
        <v/>
      </c>
      <c r="F13" s="42">
        <f>SUM(F9:F12)</f>
        <v/>
      </c>
      <c r="G13" s="43">
        <f>SUM(G9:G12)</f>
        <v/>
      </c>
      <c r="H13" s="34" t="n"/>
    </row>
    <row r="14" ht="18" customHeight="1" s="25">
      <c r="A14" s="32" t="inlineStr">
        <is>
          <t>３．その他</t>
        </is>
      </c>
      <c r="B14" s="33" t="n"/>
      <c r="C14" s="33" t="n"/>
      <c r="D14" s="33" t="n"/>
      <c r="E14" s="33" t="n"/>
      <c r="F14" s="33" t="n"/>
      <c r="G14" s="30" t="n"/>
      <c r="H14" s="34" t="n"/>
    </row>
    <row r="15" ht="18" customHeight="1" s="25">
      <c r="A15" s="44" t="inlineStr">
        <is>
          <t>メールマガジン配信</t>
        </is>
      </c>
      <c r="B15" s="39" t="n">
        <v>120</v>
      </c>
      <c r="C15" s="40">
        <f>B15*1500/1000</f>
        <v/>
      </c>
      <c r="D15" s="39" t="n">
        <v>0</v>
      </c>
      <c r="E15" s="40">
        <f>D15*1500/1000</f>
        <v/>
      </c>
      <c r="F15" s="39" t="n">
        <v>120</v>
      </c>
      <c r="G15" s="40">
        <f>F15*1500/1000</f>
        <v/>
      </c>
      <c r="H15" s="34" t="n"/>
    </row>
    <row r="16" ht="18" customHeight="1" s="25">
      <c r="A16" s="41" t="inlineStr">
        <is>
          <t>小計</t>
        </is>
      </c>
      <c r="B16" s="42">
        <f>SUM(B15:B15)</f>
        <v/>
      </c>
      <c r="C16" s="43">
        <f>SUM(C15:C15)</f>
        <v/>
      </c>
      <c r="D16" s="42">
        <f>SUM(D15:D15)</f>
        <v/>
      </c>
      <c r="E16" s="43">
        <f>SUM(E15:E15)</f>
        <v/>
      </c>
      <c r="F16" s="42">
        <f>SUM(F15:F15)</f>
        <v/>
      </c>
      <c r="G16" s="43">
        <f>SUM(G15:G15)</f>
        <v/>
      </c>
      <c r="H16" s="34" t="n"/>
    </row>
    <row r="17" ht="18" customHeight="1" s="25">
      <c r="A17" s="32" t="inlineStr">
        <is>
          <t>４．企業リスト作成</t>
        </is>
      </c>
      <c r="B17" s="33" t="n"/>
      <c r="C17" s="33" t="n"/>
      <c r="D17" s="33" t="n"/>
      <c r="E17" s="33" t="n"/>
      <c r="F17" s="33" t="n"/>
      <c r="G17" s="30" t="n"/>
      <c r="H17" s="34" t="n"/>
    </row>
    <row r="18" ht="18" customHeight="1" s="25">
      <c r="A18" s="44" t="inlineStr">
        <is>
          <t>企業リスト作成</t>
        </is>
      </c>
      <c r="B18" s="45" t="n">
        <v>0</v>
      </c>
      <c r="C18" s="46">
        <f>B18*1500/1000</f>
        <v/>
      </c>
      <c r="D18" s="39" t="n">
        <v>498</v>
      </c>
      <c r="E18" s="40">
        <f>D18*1500/1000</f>
        <v/>
      </c>
      <c r="F18" s="39" t="n">
        <v>498</v>
      </c>
      <c r="G18" s="40">
        <f>F18*1500/1000</f>
        <v/>
      </c>
      <c r="H18" s="34" t="n"/>
    </row>
    <row r="19" ht="18" customHeight="1" s="25">
      <c r="A19" s="41" t="inlineStr">
        <is>
          <t>小計</t>
        </is>
      </c>
      <c r="B19" s="47">
        <f>SUM(B18:B18)</f>
        <v/>
      </c>
      <c r="C19" s="48">
        <f>SUM(C18:C18)</f>
        <v/>
      </c>
      <c r="D19" s="42">
        <f>SUM(D18:D18)</f>
        <v/>
      </c>
      <c r="E19" s="43">
        <f>SUM(E18:E18)</f>
        <v/>
      </c>
      <c r="F19" s="42">
        <f>SUM(F18:F18)</f>
        <v/>
      </c>
      <c r="G19" s="43">
        <f>SUM(G18:G18)</f>
        <v/>
      </c>
      <c r="H19" s="34" t="n"/>
    </row>
    <row r="20" ht="18" customHeight="1" s="25">
      <c r="A20" s="35" t="inlineStr">
        <is>
          <t>効果 合計</t>
        </is>
      </c>
      <c r="B20" s="36">
        <f>B7+B13+B16+B19</f>
        <v/>
      </c>
      <c r="C20" s="37">
        <f>C7+C13+C16+C19</f>
        <v/>
      </c>
      <c r="D20" s="36">
        <f>D7+D13+D16+D19</f>
        <v/>
      </c>
      <c r="E20" s="37">
        <f>E7+E13+E16+E19</f>
        <v/>
      </c>
      <c r="F20" s="36">
        <f>F7+F13+F16+F19</f>
        <v/>
      </c>
      <c r="G20" s="37">
        <f>G7+G13+G16+G19</f>
        <v/>
      </c>
      <c r="H20" s="34" t="n"/>
    </row>
    <row r="21" ht="18" customHeight="1" s="25">
      <c r="A21" s="35" t="inlineStr">
        <is>
          <t>年間利用料（初期費用を除く）</t>
        </is>
      </c>
      <c r="B21" s="37" t="n">
        <v>690</v>
      </c>
      <c r="C21" s="30" t="n"/>
      <c r="D21" s="37" t="n">
        <v>690</v>
      </c>
      <c r="E21" s="30" t="n"/>
      <c r="F21" s="37" t="n">
        <v>690</v>
      </c>
      <c r="G21" s="30" t="n"/>
      <c r="H21" s="34" t="n"/>
    </row>
    <row r="22" ht="18" customHeight="1" s="25">
      <c r="A22" s="35" t="inlineStr">
        <is>
          <t>差分</t>
        </is>
      </c>
      <c r="B22" s="49">
        <f>C20-$B21</f>
        <v/>
      </c>
      <c r="C22" s="30" t="n"/>
      <c r="D22" s="49">
        <f>E20-$B21</f>
        <v/>
      </c>
      <c r="E22" s="30" t="n"/>
      <c r="F22" s="49">
        <f>G20-$B21</f>
        <v/>
      </c>
      <c r="G22" s="30" t="n"/>
      <c r="H22" s="34" t="n"/>
    </row>
    <row r="23" ht="18" customHeight="1" s="25">
      <c r="A23" s="34" t="n"/>
      <c r="B23" s="34" t="n"/>
      <c r="C23" s="34" t="n"/>
      <c r="D23" s="34" t="n"/>
      <c r="E23" s="34" t="n"/>
      <c r="F23" s="34" t="n"/>
      <c r="G23" s="34" t="n"/>
      <c r="H23" s="34" t="n"/>
    </row>
    <row r="24" ht="18" customHeight="1" s="25">
      <c r="A24" s="50" t="inlineStr">
        <is>
          <t>※1年目実績の名刺/メール署名取込には、契約開始時およびID追加時に一括してデータ化した過去名刺1,645枚を含む。</t>
        </is>
      </c>
      <c r="B24" s="34" t="n"/>
      <c r="C24" s="34" t="n"/>
      <c r="D24" s="34" t="n"/>
      <c r="E24" s="34" t="n"/>
      <c r="F24" s="34" t="n"/>
      <c r="G24" s="34" t="n"/>
      <c r="H24" s="34" t="n"/>
    </row>
    <row r="25" ht="18" customHeight="1" s="25">
      <c r="A25" s="26" t="inlineStr">
        <is>
          <t>※名刺/メール署名取込に要する時間として、当初計画では3.6分/枚としていたのに対し、実測を踏まえ5分/枚に修正した。</t>
        </is>
      </c>
      <c r="B25" s="34" t="n"/>
      <c r="C25" s="34" t="n"/>
      <c r="D25" s="34" t="n"/>
      <c r="E25" s="34" t="n"/>
      <c r="F25" s="34" t="n"/>
      <c r="G25" s="34" t="n"/>
      <c r="H25" s="34" t="n"/>
    </row>
    <row r="26" ht="18" customHeight="1" s="25">
      <c r="A26" s="26" t="inlineStr">
        <is>
          <t>※名刺/メール署名取込数は、当初計画250枚/月に対し、1年目実績は新規交換分が79枚/月。これに上記の過去名刺1,645枚の一括データ化が加わり、処理総数は2,480枚（月平均236枚）となった。2年目計画は過去名刺を含まず150枚/月として試算。</t>
        </is>
      </c>
      <c r="B26" s="34" t="n"/>
      <c r="C26" s="34" t="n"/>
      <c r="D26" s="34" t="n"/>
      <c r="E26" s="34" t="n"/>
      <c r="F26" s="34" t="n"/>
      <c r="G26" s="34" t="n"/>
      <c r="H26" s="34" t="n"/>
    </row>
    <row r="27" ht="18" customHeight="1" s="25">
      <c r="A27" s="26" t="inlineStr">
        <is>
          <t>※データ分析・BIについて、当初計画よりもデータ分析内製化に関する処理・加工の自動化が進んだため、より多くの手作業コストが削減された。</t>
        </is>
      </c>
    </row>
    <row r="28" ht="18" customHeight="1" s="25">
      <c r="A28" s="26" t="inlineStr">
        <is>
          <t>※企業リスト作成は、京阪神中央卸売市場の出入り業者、結婚式場、フローリスト、百貨店など、法人見込客の開拓およびその前段の分析のために作成したもの。1年目実績はのべ10,000社分。1社あたり3分（検索・転記）として算出した。人力では年間500時間を要する規模であり、この開拓量はSansanの企業データベース（3,381,941社を収録）によって初めて実現したものである。2年目は国内営業の拡張に伴い同量の作成を見込む。</t>
        </is>
      </c>
    </row>
    <row r="29" ht="18" customHeight="1" s="25">
      <c r="A29" s="26" t="inlineStr">
        <is>
          <t>※各項目の時間は、月あたりを0.5時間単位に丸めたうえで12倍し、年間の総時間としている。金額換算はこの値に基づく。</t>
        </is>
      </c>
    </row>
    <row r="30" ht="18" customHeight="1" s="25">
      <c r="A30" s="26" t="inlineStr">
        <is>
          <t>※時給はデータ分析・BIを4,000円、その他を1,500円として試算している。</t>
        </is>
      </c>
    </row>
    <row r="31" ht="18" customHeight="1" s="25">
      <c r="A31" s="26" t="inlineStr">
        <is>
          <t>※区分は稟議本文の１〜４に対応する。</t>
        </is>
      </c>
    </row>
  </sheetData>
  <mergeCells count="14">
    <mergeCell ref="F21:G21"/>
    <mergeCell ref="F2:G2"/>
    <mergeCell ref="A14:G14"/>
    <mergeCell ref="B2:C2"/>
    <mergeCell ref="B21:C21"/>
    <mergeCell ref="A17:G17"/>
    <mergeCell ref="D2:E2"/>
    <mergeCell ref="A8:G8"/>
    <mergeCell ref="A4:G4"/>
    <mergeCell ref="B22:C22"/>
    <mergeCell ref="F22:G22"/>
    <mergeCell ref="A2:A3"/>
    <mergeCell ref="D22:E22"/>
    <mergeCell ref="D21:E2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大阪ＳＮＪ新日本海商事</dc:creator>
  <dc:language xmlns:dc="http://purl.org/dc/elements/1.1/">en-US</dc:language>
  <dcterms:created xmlns:dcterms="http://purl.org/dc/terms/" xmlns:xsi="http://www.w3.org/2001/XMLSchema-instance" xsi:type="dcterms:W3CDTF">2026-08-19T07:10:32Z</dcterms:created>
  <dcterms:modified xmlns:dcterms="http://purl.org/dc/terms/" xmlns:xsi="http://www.w3.org/2001/XMLSchema-instance" xsi:type="dcterms:W3CDTF">2026-08-26T06:45:51Z</dcterms:modified>
  <cp:lastModifiedBy>大阪ＳＮＪ新日本海商事</cp:lastModifiedBy>
  <cp:revision>0</cp:revision>
  <cp:lastPrinted>2026-08-19T08:07:17Z</cp:lastPrinted>
</cp:coreProperties>
</file>