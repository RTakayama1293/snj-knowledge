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<sst xmlns="http://schemas.openxmlformats.org/spreadsheetml/2006/main" count="32" uniqueCount="28">
  <si>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r>
      <rPr>
        <sz val="11"/>
        <color theme="1"/>
        <rFont val="Meiryo UI"/>
        <family val="0"/>
        <charset val="1"/>
      </rPr>
      <t xml:space="preserve">Sansan</t>
    </r>
    <r>
      <rPr>
        <sz val="11"/>
        <color theme="1"/>
        <rFont val="Noto Sans CJK SC"/>
        <family val="2"/>
      </rPr>
      <t xml:space="preserve">導入による効果の金額換算　当初計画／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年目実績／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年目計画</t>
    </r>
  </si>
  <si>
    <t xml:space="preserve">当初計画</t>
  </si>
  <si>
    <t xml:space="preserve">１年目実績</t>
  </si>
  <si>
    <t xml:space="preserve">２年目計画</t>
  </si>
  <si>
    <t xml:space="preserve">手作業コスト</t>
  </si>
  <si>
    <t xml:space="preserve">金額換算</t>
  </si>
  <si>
    <r>
      <rPr>
        <b val="true"/>
        <sz val="11"/>
        <color theme="1"/>
        <rFont val="Meiryo UI"/>
        <family val="0"/>
        <charset val="1"/>
      </rPr>
      <t xml:space="preserve">A. </t>
    </r>
    <r>
      <rPr>
        <b val="true"/>
        <sz val="11"/>
        <color theme="1"/>
        <rFont val="Noto Sans CJK SC"/>
        <family val="2"/>
      </rPr>
      <t xml:space="preserve">当初計画項目（手作業コストの削減）</t>
    </r>
  </si>
  <si>
    <r>
      <rPr>
        <sz val="11"/>
        <color theme="1"/>
        <rFont val="Noto Sans CJK SC"/>
        <family val="2"/>
      </rPr>
      <t xml:space="preserve">名刺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メール署名取込</t>
    </r>
  </si>
  <si>
    <r>
      <rPr>
        <sz val="11"/>
        <color theme="1"/>
        <rFont val="Meiryo UI"/>
        <family val="0"/>
        <charset val="1"/>
      </rPr>
      <t xml:space="preserve">EEZO</t>
    </r>
    <r>
      <rPr>
        <sz val="11"/>
        <color theme="1"/>
        <rFont val="Noto Sans CJK SC"/>
        <family val="2"/>
      </rPr>
      <t xml:space="preserve">法人会員情報取込</t>
    </r>
  </si>
  <si>
    <t xml:space="preserve">名刺情報のアップデート</t>
  </si>
  <si>
    <t xml:space="preserve">メールマガジン配信</t>
  </si>
  <si>
    <t xml:space="preserve">見込客管理</t>
  </si>
  <si>
    <t xml:space="preserve">受注進捗管理</t>
  </si>
  <si>
    <r>
      <rPr>
        <sz val="11"/>
        <color theme="1"/>
        <rFont val="Noto Sans CJK SC"/>
        <family val="2"/>
      </rPr>
      <t xml:space="preserve">データ分析・</t>
    </r>
    <r>
      <rPr>
        <sz val="11"/>
        <color theme="1"/>
        <rFont val="Meiryo UI"/>
        <family val="0"/>
        <charset val="1"/>
      </rPr>
      <t xml:space="preserve">BI</t>
    </r>
  </si>
  <si>
    <t xml:space="preserve">①小計</t>
  </si>
  <si>
    <r>
      <rPr>
        <b val="true"/>
        <sz val="11"/>
        <color theme="1"/>
        <rFont val="Meiryo UI"/>
        <family val="0"/>
        <charset val="1"/>
      </rPr>
      <t xml:space="preserve">B. </t>
    </r>
    <r>
      <rPr>
        <b val="true"/>
        <sz val="11"/>
        <color theme="1"/>
        <rFont val="Noto Sans CJK SC"/>
        <family val="2"/>
      </rPr>
      <t xml:space="preserve">計画外項目（業務範囲の拡張）</t>
    </r>
  </si>
  <si>
    <t xml:space="preserve">企業リスト作成</t>
  </si>
  <si>
    <t xml:space="preserve">②小計</t>
  </si>
  <si>
    <t xml:space="preserve">③合計（①＋②）</t>
  </si>
  <si>
    <t xml:space="preserve">④年間利用料（初期費用を除く）</t>
  </si>
  <si>
    <t xml:space="preserve">③−④ 差分</t>
  </si>
  <si>
    <r>
      <rPr>
        <sz val="11"/>
        <color theme="1"/>
        <rFont val="Meiryo UI"/>
        <family val="0"/>
        <charset val="1"/>
      </rPr>
      <t xml:space="preserve">※1</t>
    </r>
    <r>
      <rPr>
        <sz val="11"/>
        <color theme="1"/>
        <rFont val="Noto Sans CJK SC"/>
        <family val="2"/>
      </rPr>
      <t xml:space="preserve">年目実績の名刺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メール署名取込には、契約開始時および</t>
    </r>
    <r>
      <rPr>
        <sz val="11"/>
        <color theme="1"/>
        <rFont val="Meiryo UI"/>
        <family val="0"/>
        <charset val="1"/>
      </rPr>
      <t xml:space="preserve">ID</t>
    </r>
    <r>
      <rPr>
        <sz val="11"/>
        <color theme="1"/>
        <rFont val="Noto Sans CJK SC"/>
        <family val="2"/>
      </rPr>
      <t xml:space="preserve">追加時に一括してデータ化した過去名刺</t>
    </r>
    <r>
      <rPr>
        <sz val="11"/>
        <color theme="1"/>
        <rFont val="Meiryo UI"/>
        <family val="0"/>
        <charset val="1"/>
      </rPr>
      <t xml:space="preserve">1,645</t>
    </r>
    <r>
      <rPr>
        <sz val="11"/>
        <color theme="1"/>
        <rFont val="Noto Sans CJK SC"/>
        <family val="2"/>
      </rPr>
      <t xml:space="preserve">枚を含む。</t>
    </r>
  </si>
  <si>
    <r>
      <rPr>
        <sz val="11"/>
        <color theme="1"/>
        <rFont val="Noto Sans CJK SC"/>
        <family val="2"/>
      </rPr>
      <t xml:space="preserve">※名刺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メール署名取込に要する時間として、当初計画では</t>
    </r>
    <r>
      <rPr>
        <sz val="11"/>
        <color theme="1"/>
        <rFont val="Meiryo UI"/>
        <family val="0"/>
        <charset val="1"/>
      </rPr>
      <t xml:space="preserve">3.6</t>
    </r>
    <r>
      <rPr>
        <sz val="11"/>
        <color theme="1"/>
        <rFont val="Noto Sans CJK SC"/>
        <family val="2"/>
      </rPr>
      <t xml:space="preserve">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枚としていたのに対し、実測を踏まえ</t>
    </r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枚に修正した。</t>
    </r>
  </si>
  <si>
    <r>
      <rPr>
        <sz val="11"/>
        <color theme="1"/>
        <rFont val="Noto Sans CJK SC"/>
        <family val="2"/>
      </rPr>
      <t xml:space="preserve">※名刺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メール署名取込数は、当初計画</t>
    </r>
    <r>
      <rPr>
        <sz val="11"/>
        <color theme="1"/>
        <rFont val="Meiryo UI"/>
        <family val="0"/>
        <charset val="1"/>
      </rPr>
      <t xml:space="preserve">250</t>
    </r>
    <r>
      <rPr>
        <sz val="11"/>
        <color theme="1"/>
        <rFont val="Noto Sans CJK SC"/>
        <family val="2"/>
      </rPr>
      <t xml:space="preserve">枚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月に対し、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年目実績は新規交換分が</t>
    </r>
    <r>
      <rPr>
        <sz val="11"/>
        <color theme="1"/>
        <rFont val="Meiryo UI"/>
        <family val="0"/>
        <charset val="1"/>
      </rPr>
      <t xml:space="preserve">79</t>
    </r>
    <r>
      <rPr>
        <sz val="11"/>
        <color theme="1"/>
        <rFont val="Noto Sans CJK SC"/>
        <family val="2"/>
      </rPr>
      <t xml:space="preserve">枚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月。これに上記の過去名刺</t>
    </r>
    <r>
      <rPr>
        <sz val="11"/>
        <color theme="1"/>
        <rFont val="Meiryo UI"/>
        <family val="0"/>
        <charset val="1"/>
      </rPr>
      <t xml:space="preserve">1,645</t>
    </r>
    <r>
      <rPr>
        <sz val="11"/>
        <color theme="1"/>
        <rFont val="Noto Sans CJK SC"/>
        <family val="2"/>
      </rPr>
      <t xml:space="preserve">枚の一括データ化が加わり、処理総数は</t>
    </r>
    <r>
      <rPr>
        <sz val="11"/>
        <color theme="1"/>
        <rFont val="Meiryo UI"/>
        <family val="0"/>
        <charset val="1"/>
      </rPr>
      <t xml:space="preserve">2,480</t>
    </r>
    <r>
      <rPr>
        <sz val="11"/>
        <color theme="1"/>
        <rFont val="Noto Sans CJK SC"/>
        <family val="2"/>
      </rPr>
      <t xml:space="preserve">枚（月平均</t>
    </r>
    <r>
      <rPr>
        <sz val="11"/>
        <color theme="1"/>
        <rFont val="Meiryo UI"/>
        <family val="0"/>
        <charset val="1"/>
      </rPr>
      <t xml:space="preserve">236</t>
    </r>
    <r>
      <rPr>
        <sz val="11"/>
        <color theme="1"/>
        <rFont val="Noto Sans CJK SC"/>
        <family val="2"/>
      </rPr>
      <t xml:space="preserve">枚）となった。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年目計画は過去名刺を含まず</t>
    </r>
    <r>
      <rPr>
        <sz val="11"/>
        <color theme="1"/>
        <rFont val="Meiryo UI"/>
        <family val="0"/>
        <charset val="1"/>
      </rPr>
      <t xml:space="preserve">150</t>
    </r>
    <r>
      <rPr>
        <sz val="11"/>
        <color theme="1"/>
        <rFont val="Noto Sans CJK SC"/>
        <family val="2"/>
      </rPr>
      <t xml:space="preserve">枚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月として試算。</t>
    </r>
  </si>
  <si>
    <r>
      <rPr>
        <sz val="11"/>
        <color theme="1"/>
        <rFont val="Noto Sans CJK SC"/>
        <family val="2"/>
      </rPr>
      <t xml:space="preserve">※データ分析・</t>
    </r>
    <r>
      <rPr>
        <sz val="11"/>
        <color theme="1"/>
        <rFont val="Meiryo UI"/>
        <family val="0"/>
        <charset val="1"/>
      </rPr>
      <t xml:space="preserve">BI</t>
    </r>
    <r>
      <rPr>
        <sz val="11"/>
        <color theme="1"/>
        <rFont val="Noto Sans CJK SC"/>
        <family val="2"/>
      </rPr>
      <t xml:space="preserve">について、当初計画よりもデータ分析内製化に関する処理・加工の自動化が進んだため、より多くの手作業コストが削減された。</t>
    </r>
  </si>
  <si>
    <r>
      <rPr>
        <sz val="11"/>
        <color theme="1"/>
        <rFont val="Noto Sans CJK SC"/>
        <family val="2"/>
      </rPr>
      <t xml:space="preserve">※企業リスト作成は、京阪神中央卸売市場の出入り業者、結婚式場、フローリスト、百貨店など、法人見込客の開拓およびその前段の分析のために作成したもの。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年目実績はのべ</t>
    </r>
    <r>
      <rPr>
        <sz val="11"/>
        <color theme="1"/>
        <rFont val="Meiryo UI"/>
        <family val="0"/>
        <charset val="1"/>
      </rPr>
      <t xml:space="preserve">10,000</t>
    </r>
    <r>
      <rPr>
        <sz val="11"/>
        <color theme="1"/>
        <rFont val="Noto Sans CJK SC"/>
        <family val="2"/>
      </rPr>
      <t xml:space="preserve">社分。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社あたり</t>
    </r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分（検索・転記）として算出した。人力では年間</t>
    </r>
    <r>
      <rPr>
        <sz val="11"/>
        <color theme="1"/>
        <rFont val="Meiryo UI"/>
        <family val="0"/>
        <charset val="1"/>
      </rPr>
      <t xml:space="preserve">500</t>
    </r>
    <r>
      <rPr>
        <sz val="11"/>
        <color theme="1"/>
        <rFont val="Noto Sans CJK SC"/>
        <family val="2"/>
      </rPr>
      <t xml:space="preserve">時間を要する規模であり、この開拓量は</t>
    </r>
    <r>
      <rPr>
        <sz val="11"/>
        <color theme="1"/>
        <rFont val="Meiryo UI"/>
        <family val="0"/>
        <charset val="1"/>
      </rPr>
      <t xml:space="preserve">Sansan</t>
    </r>
    <r>
      <rPr>
        <sz val="11"/>
        <color theme="1"/>
        <rFont val="Noto Sans CJK SC"/>
        <family val="2"/>
      </rPr>
      <t xml:space="preserve">の企業データベース（</t>
    </r>
    <r>
      <rPr>
        <sz val="11"/>
        <color theme="1"/>
        <rFont val="Meiryo UI"/>
        <family val="0"/>
        <charset val="1"/>
      </rPr>
      <t xml:space="preserve">3,381,941</t>
    </r>
    <r>
      <rPr>
        <sz val="11"/>
        <color theme="1"/>
        <rFont val="Noto Sans CJK SC"/>
        <family val="2"/>
      </rPr>
      <t xml:space="preserve">社を収録）によって初めて実現したものである。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年目は国内営業の拡張に伴い同量の作成を見込む。</t>
    </r>
  </si>
  <si>
    <r>
      <rPr>
        <sz val="11"/>
        <color theme="1"/>
        <rFont val="Noto Sans CJK SC"/>
        <family val="2"/>
      </rPr>
      <t xml:space="preserve">※手作業コストは</t>
    </r>
    <r>
      <rPr>
        <sz val="11"/>
        <color theme="1"/>
        <rFont val="Meiryo UI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時間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月単位に丸めて表示しており、金額換算はこの表示値に基づいて算出している。</t>
    </r>
  </si>
  <si>
    <r>
      <rPr>
        <sz val="11"/>
        <color theme="1"/>
        <rFont val="Noto Sans CJK SC"/>
        <family val="2"/>
      </rPr>
      <t xml:space="preserve">※時給はデータ分析・</t>
    </r>
    <r>
      <rPr>
        <sz val="11"/>
        <color theme="1"/>
        <rFont val="Meiryo UI"/>
        <family val="0"/>
        <charset val="1"/>
      </rPr>
      <t xml:space="preserve">BI</t>
    </r>
    <r>
      <rPr>
        <sz val="11"/>
        <color theme="1"/>
        <rFont val="Noto Sans CJK SC"/>
        <family val="2"/>
      </rPr>
      <t xml:space="preserve">を</t>
    </r>
    <r>
      <rPr>
        <sz val="11"/>
        <color theme="1"/>
        <rFont val="Meiryo UI"/>
        <family val="0"/>
        <charset val="1"/>
      </rPr>
      <t xml:space="preserve">4,000</t>
    </r>
    <r>
      <rPr>
        <sz val="11"/>
        <color theme="1"/>
        <rFont val="Noto Sans CJK SC"/>
        <family val="2"/>
      </rPr>
      <t xml:space="preserve">円、その他を</t>
    </r>
    <r>
      <rPr>
        <sz val="11"/>
        <color theme="1"/>
        <rFont val="Meiryo UI"/>
        <family val="0"/>
        <charset val="1"/>
      </rPr>
      <t xml:space="preserve">1,500</t>
    </r>
    <r>
      <rPr>
        <sz val="11"/>
        <color theme="1"/>
        <rFont val="Noto Sans CJK SC"/>
        <family val="2"/>
      </rPr>
      <t xml:space="preserve">円として試算している。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</si>
</sst>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&quot;時間/月&quot;"/>
    <numFmt numFmtId="166" formatCode="0&quot;千円&quot;"/>
    <numFmt numFmtId="167" formatCode="0.0&quot;時間/月&quot;;\-0.0&quot;時間/月&quot;;\－"/>
    <numFmt numFmtId="168" formatCode="0&quot;千円&quot;;\-0&quot;千円&quot;;\－"/>
  </numFmts>
  <fonts count="10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eiryo UI"/>
      <family val="3"/>
      <charset val="128"/>
    </font>
    <font>
      <sz val="11"/>
      <color theme="1"/>
      <name val="Meiryo UI"/>
      <family val="0"/>
      <charset val="1"/>
    </font>
    <font>
      <sz val="11"/>
      <color theme="1"/>
      <name val="Noto Sans CJK SC"/>
      <family val="2"/>
    </font>
    <font>
      <b val="true"/>
      <sz val="11"/>
      <color theme="1"/>
      <name val="Noto Sans CJK SC"/>
      <family val="2"/>
    </font>
    <font>
      <b val="true"/>
      <sz val="11"/>
      <color theme="1"/>
      <name val="Meiryo UI"/>
      <family val="0"/>
      <charset val="1"/>
    </font>
    <font>
      <sz val="11"/>
      <name val="Meiryo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theme="0" tint="-0.05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80078125" defaultRowHeight="18" zeroHeight="false" outlineLevelRow="0" outlineLevelCol="0"/>
  <cols>
    <col collapsed="false" customWidth="true" hidden="false" outlineLevel="0" max="1" min="1" style="1" width="28.1"/>
    <col collapsed="false" customWidth="true" hidden="false" outlineLevel="0" max="2" min="2" style="1" width="11.6"/>
    <col collapsed="false" customWidth="true" hidden="false" outlineLevel="0" max="3" min="3" style="1" width="11.3"/>
    <col collapsed="false" customWidth="true" hidden="false" outlineLevel="0" max="4" min="4" style="1" width="12.4"/>
    <col collapsed="false" customWidth="true" hidden="false" outlineLevel="0" max="5" min="5" style="1" width="9.6"/>
    <col collapsed="false" customWidth="true" hidden="false" outlineLevel="0" max="6" min="6" style="1" width="12.4"/>
    <col collapsed="false" customWidth="true" hidden="false" outlineLevel="0" max="7" min="7" style="1" width="9.6"/>
    <col collapsed="false" customWidth="false" hidden="false" outlineLevel="0" max="16384" min="8" style="1" width="8.8"/>
  </cols>
  <sheetData>
    <row r="1" customFormat="false" ht="18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18" hidden="false" customHeight="true" outlineLevel="0" collapsed="false">
      <c r="A2" s="4"/>
      <c r="B2" s="5" t="s">
        <v>1</v>
      </c>
      <c r="C2" s="5"/>
      <c r="D2" s="5" t="s">
        <v>2</v>
      </c>
      <c r="E2" s="5"/>
      <c r="F2" s="5" t="s">
        <v>3</v>
      </c>
      <c r="G2" s="5"/>
      <c r="H2" s="3"/>
    </row>
    <row r="3" customFormat="false" ht="18" hidden="false" customHeight="true" outlineLevel="0" collapsed="false">
      <c r="A3" s="4"/>
      <c r="B3" s="5" t="s">
        <v>4</v>
      </c>
      <c r="C3" s="5" t="s">
        <v>5</v>
      </c>
      <c r="D3" s="5" t="s">
        <v>4</v>
      </c>
      <c r="E3" s="5" t="s">
        <v>5</v>
      </c>
      <c r="F3" s="5" t="s">
        <v>4</v>
      </c>
      <c r="G3" s="5" t="s">
        <v>5</v>
      </c>
      <c r="H3" s="3"/>
    </row>
    <row r="4" customFormat="false" ht="18" hidden="false" customHeight="true" outlineLevel="0" collapsed="false">
      <c r="A4" s="6" t="s">
        <v>6</v>
      </c>
      <c r="B4" s="6"/>
      <c r="C4" s="6"/>
      <c r="D4" s="6"/>
      <c r="E4" s="6"/>
      <c r="F4" s="6"/>
      <c r="G4" s="6"/>
      <c r="H4" s="7"/>
    </row>
    <row r="5" customFormat="false" ht="18" hidden="false" customHeight="true" outlineLevel="0" collapsed="false">
      <c r="A5" s="8" t="s">
        <v>7</v>
      </c>
      <c r="B5" s="9" t="n">
        <v>15</v>
      </c>
      <c r="C5" s="10" t="n">
        <f aca="false">B5*1500*12/1000</f>
        <v>270</v>
      </c>
      <c r="D5" s="9" t="n">
        <v>19.5</v>
      </c>
      <c r="E5" s="10" t="n">
        <f aca="false">D5*1500*12/1000</f>
        <v>351</v>
      </c>
      <c r="F5" s="9" t="n">
        <v>12.5</v>
      </c>
      <c r="G5" s="10" t="n">
        <f aca="false">F5*1500*12/1000</f>
        <v>225</v>
      </c>
      <c r="H5" s="7"/>
    </row>
    <row r="6" customFormat="false" ht="18" hidden="false" customHeight="true" outlineLevel="0" collapsed="false">
      <c r="A6" s="11" t="s">
        <v>8</v>
      </c>
      <c r="B6" s="12" t="n">
        <v>5</v>
      </c>
      <c r="C6" s="13" t="n">
        <f aca="false">B6*1500*12/1000</f>
        <v>90</v>
      </c>
      <c r="D6" s="12" t="n">
        <v>0</v>
      </c>
      <c r="E6" s="13" t="n">
        <f aca="false">D6*1500*12/1000</f>
        <v>0</v>
      </c>
      <c r="F6" s="12" t="n">
        <v>5</v>
      </c>
      <c r="G6" s="13" t="n">
        <f aca="false">F6*1500*12/1000</f>
        <v>90</v>
      </c>
      <c r="H6" s="7"/>
    </row>
    <row r="7" customFormat="false" ht="18" hidden="false" customHeight="true" outlineLevel="0" collapsed="false">
      <c r="A7" s="8" t="s">
        <v>9</v>
      </c>
      <c r="B7" s="9" t="n">
        <v>2</v>
      </c>
      <c r="C7" s="10" t="n">
        <f aca="false">B7*1500*12/1000</f>
        <v>36</v>
      </c>
      <c r="D7" s="9" t="n">
        <v>2</v>
      </c>
      <c r="E7" s="10" t="n">
        <f aca="false">D7*1500*12/1000</f>
        <v>36</v>
      </c>
      <c r="F7" s="9" t="n">
        <v>2</v>
      </c>
      <c r="G7" s="10" t="n">
        <f aca="false">F7*1500*12/1000</f>
        <v>36</v>
      </c>
      <c r="H7" s="7"/>
    </row>
    <row r="8" customFormat="false" ht="18" hidden="false" customHeight="true" outlineLevel="0" collapsed="false">
      <c r="A8" s="14" t="s">
        <v>10</v>
      </c>
      <c r="B8" s="12" t="n">
        <v>10</v>
      </c>
      <c r="C8" s="13" t="n">
        <f aca="false">B8*1500*12/1000</f>
        <v>180</v>
      </c>
      <c r="D8" s="12" t="n">
        <v>0</v>
      </c>
      <c r="E8" s="13" t="n">
        <f aca="false">D8*1500*12/1000</f>
        <v>0</v>
      </c>
      <c r="F8" s="12" t="n">
        <v>10</v>
      </c>
      <c r="G8" s="13" t="n">
        <f aca="false">F8*1500*12/1000</f>
        <v>180</v>
      </c>
      <c r="H8" s="7"/>
    </row>
    <row r="9" customFormat="false" ht="18" hidden="false" customHeight="true" outlineLevel="0" collapsed="false">
      <c r="A9" s="8" t="s">
        <v>11</v>
      </c>
      <c r="B9" s="9" t="n">
        <v>5</v>
      </c>
      <c r="C9" s="10" t="n">
        <f aca="false">B9*1500*12/1000</f>
        <v>90</v>
      </c>
      <c r="D9" s="9" t="n">
        <v>5</v>
      </c>
      <c r="E9" s="10" t="n">
        <f aca="false">D9*1500*12/1000</f>
        <v>90</v>
      </c>
      <c r="F9" s="9" t="n">
        <v>5</v>
      </c>
      <c r="G9" s="10" t="n">
        <f aca="false">F9*1500*12/1000</f>
        <v>90</v>
      </c>
      <c r="H9" s="7"/>
    </row>
    <row r="10" customFormat="false" ht="18" hidden="false" customHeight="true" outlineLevel="0" collapsed="false">
      <c r="A10" s="14" t="s">
        <v>12</v>
      </c>
      <c r="B10" s="12" t="n">
        <v>5</v>
      </c>
      <c r="C10" s="13" t="n">
        <f aca="false">B10*1500*12/1000</f>
        <v>90</v>
      </c>
      <c r="D10" s="12" t="n">
        <v>4.5</v>
      </c>
      <c r="E10" s="13" t="n">
        <f aca="false">D10*1500*12/1000</f>
        <v>81</v>
      </c>
      <c r="F10" s="12" t="n">
        <v>5</v>
      </c>
      <c r="G10" s="13" t="n">
        <f aca="false">F10*1500*12/1000</f>
        <v>90</v>
      </c>
      <c r="H10" s="7"/>
    </row>
    <row r="11" customFormat="false" ht="18" hidden="false" customHeight="true" outlineLevel="0" collapsed="false">
      <c r="A11" s="15" t="s">
        <v>13</v>
      </c>
      <c r="B11" s="16" t="n">
        <v>3</v>
      </c>
      <c r="C11" s="17" t="n">
        <f aca="false">B11*4000*12/1000</f>
        <v>144</v>
      </c>
      <c r="D11" s="16" t="n">
        <v>5</v>
      </c>
      <c r="E11" s="17" t="n">
        <f aca="false">D11*4000*12/1000</f>
        <v>240</v>
      </c>
      <c r="F11" s="16" t="n">
        <v>5</v>
      </c>
      <c r="G11" s="17" t="n">
        <f aca="false">F11*4000*12/1000</f>
        <v>240</v>
      </c>
      <c r="H11" s="7"/>
    </row>
    <row r="12" customFormat="false" ht="18" hidden="false" customHeight="true" outlineLevel="0" collapsed="false">
      <c r="A12" s="18" t="s">
        <v>14</v>
      </c>
      <c r="B12" s="19" t="n">
        <f aca="false">SUM(B5:B11)</f>
        <v>45</v>
      </c>
      <c r="C12" s="20" t="n">
        <f aca="false">SUM(C5:C11)</f>
        <v>900</v>
      </c>
      <c r="D12" s="19" t="n">
        <f aca="false">SUM(D5:D11)</f>
        <v>36</v>
      </c>
      <c r="E12" s="20" t="n">
        <f aca="false">SUM(E5:E11)</f>
        <v>798</v>
      </c>
      <c r="F12" s="19" t="n">
        <f aca="false">SUM(F5:F11)</f>
        <v>44.5</v>
      </c>
      <c r="G12" s="20" t="n">
        <f aca="false">SUM(G5:G11)</f>
        <v>951</v>
      </c>
      <c r="H12" s="7"/>
    </row>
    <row r="13" customFormat="false" ht="18" hidden="false" customHeight="true" outlineLevel="0" collapsed="false">
      <c r="A13" s="6" t="s">
        <v>15</v>
      </c>
      <c r="B13" s="6"/>
      <c r="C13" s="6"/>
      <c r="D13" s="6"/>
      <c r="E13" s="6"/>
      <c r="F13" s="6"/>
      <c r="G13" s="6"/>
      <c r="H13" s="7"/>
    </row>
    <row r="14" customFormat="false" ht="18" hidden="false" customHeight="true" outlineLevel="0" collapsed="false">
      <c r="A14" s="15" t="s">
        <v>16</v>
      </c>
      <c r="B14" s="21" t="n">
        <v>0</v>
      </c>
      <c r="C14" s="22" t="n">
        <f aca="false">B14*1500*12/1000</f>
        <v>0</v>
      </c>
      <c r="D14" s="16" t="n">
        <v>41.5</v>
      </c>
      <c r="E14" s="17" t="n">
        <f aca="false">D14*1500*12/1000</f>
        <v>747</v>
      </c>
      <c r="F14" s="16" t="n">
        <v>41.5</v>
      </c>
      <c r="G14" s="17" t="n">
        <f aca="false">F14*1500*12/1000</f>
        <v>747</v>
      </c>
      <c r="H14" s="7"/>
    </row>
    <row r="15" customFormat="false" ht="18" hidden="false" customHeight="true" outlineLevel="0" collapsed="false">
      <c r="A15" s="18" t="s">
        <v>17</v>
      </c>
      <c r="B15" s="23" t="n">
        <f aca="false">SUM(B14:B14)</f>
        <v>0</v>
      </c>
      <c r="C15" s="24" t="n">
        <f aca="false">SUM(C14:C14)</f>
        <v>0</v>
      </c>
      <c r="D15" s="19" t="n">
        <f aca="false">SUM(D14:D14)</f>
        <v>41.5</v>
      </c>
      <c r="E15" s="20" t="n">
        <f aca="false">SUM(E14:E14)</f>
        <v>747</v>
      </c>
      <c r="F15" s="19" t="n">
        <f aca="false">SUM(F14:F14)</f>
        <v>41.5</v>
      </c>
      <c r="G15" s="20" t="n">
        <f aca="false">SUM(G14:G14)</f>
        <v>747</v>
      </c>
      <c r="H15" s="7"/>
    </row>
    <row r="16" customFormat="false" ht="18" hidden="false" customHeight="true" outlineLevel="0" collapsed="false">
      <c r="A16" s="8" t="s">
        <v>18</v>
      </c>
      <c r="B16" s="9" t="n">
        <f aca="false">B12+B15</f>
        <v>45</v>
      </c>
      <c r="C16" s="10" t="n">
        <f aca="false">C12+C15</f>
        <v>900</v>
      </c>
      <c r="D16" s="9" t="n">
        <f aca="false">D12+D15</f>
        <v>77.5</v>
      </c>
      <c r="E16" s="10" t="n">
        <f aca="false">E12+E15</f>
        <v>1545</v>
      </c>
      <c r="F16" s="9" t="n">
        <f aca="false">F12+F15</f>
        <v>86</v>
      </c>
      <c r="G16" s="10" t="n">
        <f aca="false">G12+G15</f>
        <v>1698</v>
      </c>
      <c r="H16" s="7"/>
    </row>
    <row r="17" customFormat="false" ht="18" hidden="false" customHeight="true" outlineLevel="0" collapsed="false">
      <c r="A17" s="8" t="s">
        <v>19</v>
      </c>
      <c r="B17" s="10" t="n">
        <v>690</v>
      </c>
      <c r="C17" s="10"/>
      <c r="D17" s="10" t="n">
        <v>690</v>
      </c>
      <c r="E17" s="10"/>
      <c r="F17" s="10" t="n">
        <v>690</v>
      </c>
      <c r="G17" s="10"/>
      <c r="H17" s="7"/>
    </row>
    <row r="18" customFormat="false" ht="18" hidden="false" customHeight="true" outlineLevel="0" collapsed="false">
      <c r="A18" s="8" t="s">
        <v>20</v>
      </c>
      <c r="B18" s="25" t="n">
        <f aca="false">C16-$B17</f>
        <v>210</v>
      </c>
      <c r="C18" s="25"/>
      <c r="D18" s="25" t="n">
        <f aca="false">E16-$B17</f>
        <v>855</v>
      </c>
      <c r="E18" s="25"/>
      <c r="F18" s="25" t="n">
        <f aca="false">G16-$B17</f>
        <v>1008</v>
      </c>
      <c r="G18" s="25"/>
      <c r="H18" s="7"/>
    </row>
    <row r="19" customFormat="false" ht="18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8" hidden="false" customHeight="true" outlineLevel="0" collapsed="false">
      <c r="A20" s="2" t="s">
        <v>21</v>
      </c>
      <c r="B20" s="7"/>
      <c r="C20" s="7"/>
      <c r="D20" s="7"/>
      <c r="E20" s="7"/>
      <c r="F20" s="7"/>
      <c r="G20" s="7"/>
      <c r="H20" s="7"/>
    </row>
    <row r="21" customFormat="false" ht="18" hidden="false" customHeight="true" outlineLevel="0" collapsed="false">
      <c r="A21" s="26" t="s">
        <v>22</v>
      </c>
      <c r="B21" s="7"/>
      <c r="C21" s="7"/>
      <c r="D21" s="7"/>
      <c r="E21" s="7"/>
      <c r="F21" s="7"/>
      <c r="G21" s="7"/>
      <c r="H21" s="7"/>
    </row>
    <row r="22" customFormat="false" ht="18" hidden="false" customHeight="true" outlineLevel="0" collapsed="false">
      <c r="A22" s="26" t="s">
        <v>23</v>
      </c>
      <c r="B22" s="7"/>
      <c r="C22" s="7"/>
      <c r="D22" s="7"/>
      <c r="E22" s="7"/>
      <c r="F22" s="7"/>
      <c r="G22" s="7"/>
      <c r="H22" s="7"/>
    </row>
    <row r="23" customFormat="false" ht="18" hidden="false" customHeight="true" outlineLevel="0" collapsed="false">
      <c r="A23" s="26" t="s">
        <v>24</v>
      </c>
      <c r="B23" s="7"/>
      <c r="C23" s="7"/>
      <c r="D23" s="7"/>
      <c r="E23" s="7"/>
      <c r="F23" s="7"/>
      <c r="G23" s="7"/>
      <c r="H23" s="7"/>
    </row>
    <row r="24" customFormat="false" ht="18" hidden="false" customHeight="true" outlineLevel="0" collapsed="false">
      <c r="A24" s="26" t="s">
        <v>25</v>
      </c>
      <c r="B24" s="7"/>
      <c r="C24" s="7"/>
      <c r="D24" s="7"/>
      <c r="E24" s="7"/>
      <c r="F24" s="7"/>
      <c r="G24" s="7"/>
      <c r="H24" s="7"/>
    </row>
    <row r="25" customFormat="false" ht="18" hidden="false" customHeight="true" outlineLevel="0" collapsed="false">
      <c r="A25" s="26" t="s">
        <v>26</v>
      </c>
      <c r="B25" s="7"/>
      <c r="C25" s="7"/>
      <c r="D25" s="7"/>
      <c r="E25" s="7"/>
      <c r="F25" s="7"/>
      <c r="G25" s="7"/>
      <c r="H25" s="7"/>
    </row>
    <row r="26" customFormat="false" ht="18" hidden="false" customHeight="true" outlineLevel="0" collapsed="false">
      <c r="A26" s="26" t="s">
        <v>27</v>
      </c>
      <c r="B26" s="7"/>
      <c r="C26" s="7"/>
      <c r="D26" s="7"/>
      <c r="E26" s="7"/>
      <c r="F26" s="7"/>
      <c r="G26" s="7"/>
      <c r="H26" s="7"/>
    </row>
  </sheetData>
  <mergeCells count="12">
    <mergeCell ref="A2:A3"/>
    <mergeCell ref="B2:C2"/>
    <mergeCell ref="D2:E2"/>
    <mergeCell ref="F2:G2"/>
    <mergeCell ref="A4:G4"/>
    <mergeCell ref="A13:G13"/>
    <mergeCell ref="B17:C17"/>
    <mergeCell ref="D17:E17"/>
    <mergeCell ref="F17:G17"/>
    <mergeCell ref="B18:C18"/>
    <mergeCell ref="D18:E18"/>
    <mergeCell ref="F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2026-08-19T07:10:32Z</dcterms:created>
  <dc:creator>大阪ＳＮＪ新日本海商事</dc:creator>
  <dc:description/>
  <dc:language>en-US</dc:language>
  <cp:lastModifiedBy>大阪ＳＮＪ新日本海商事</cp:lastModifiedBy>
  <cp:lastPrinted>2026-08-19T08:07:17Z</cp:lastPrinted>
  <dcterms:modified xsi:type="dcterms:W3CDTF">2026-08-20T05:58:06Z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