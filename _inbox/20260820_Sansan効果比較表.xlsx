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<sst xmlns="http://schemas.openxmlformats.org/spreadsheetml/2006/main" count="37" uniqueCount="30">
  <si>
    <r>
      <rPr>
        <sz val="11"/>
        <color theme="1"/>
        <rFont val="Noto Sans CJK SC"/>
        <family val="2"/>
      </rPr>
      <t xml:space="preserve">別紙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　効果の金額換算（項目別内訳）　当初計画／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年目実績／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年目計画</t>
    </r>
  </si>
  <si>
    <t xml:space="preserve">当初計画</t>
  </si>
  <si>
    <t xml:space="preserve">１年目実績</t>
  </si>
  <si>
    <t xml:space="preserve">２年目計画</t>
  </si>
  <si>
    <t xml:space="preserve">手作業の総時間</t>
  </si>
  <si>
    <t xml:space="preserve">金額換算</t>
  </si>
  <si>
    <t xml:space="preserve">１．名刺取り込み</t>
  </si>
  <si>
    <r>
      <rPr>
        <sz val="11"/>
        <color theme="1"/>
        <rFont val="Noto Sans CJK SC"/>
        <family val="2"/>
      </rPr>
      <t xml:space="preserve">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</t>
    </r>
  </si>
  <si>
    <r>
      <rPr>
        <sz val="11"/>
        <color theme="1"/>
        <rFont val="Meiryo UI"/>
        <family val="0"/>
        <charset val="1"/>
      </rPr>
      <t xml:space="preserve">EEZO</t>
    </r>
    <r>
      <rPr>
        <sz val="11"/>
        <color theme="1"/>
        <rFont val="Noto Sans CJK SC"/>
        <family val="2"/>
      </rPr>
      <t xml:space="preserve">法人会員情報取込</t>
    </r>
  </si>
  <si>
    <t xml:space="preserve">小計</t>
  </si>
  <si>
    <t xml:space="preserve">２．営業管理・データ分析</t>
  </si>
  <si>
    <t xml:space="preserve">名刺情報のアップデート</t>
  </si>
  <si>
    <t xml:space="preserve">見込客管理</t>
  </si>
  <si>
    <t xml:space="preserve">受注進捗管理</t>
  </si>
  <si>
    <r>
      <rPr>
        <sz val="11"/>
        <color theme="1"/>
        <rFont val="Noto Sans CJK SC"/>
        <family val="2"/>
      </rPr>
      <t xml:space="preserve">データ分析・</t>
    </r>
    <r>
      <rPr>
        <sz val="11"/>
        <color theme="1"/>
        <rFont val="Meiryo UI"/>
        <family val="0"/>
        <charset val="1"/>
      </rPr>
      <t xml:space="preserve">BI</t>
    </r>
  </si>
  <si>
    <t xml:space="preserve">３．その他</t>
  </si>
  <si>
    <t xml:space="preserve">メールマガジン配信</t>
  </si>
  <si>
    <t xml:space="preserve">４．企業リスト作成</t>
  </si>
  <si>
    <t xml:space="preserve">企業リスト作成</t>
  </si>
  <si>
    <t xml:space="preserve">効果 合計</t>
  </si>
  <si>
    <t xml:space="preserve">年間利用料（初期費用を除く）</t>
  </si>
  <si>
    <t xml:space="preserve">差分</t>
  </si>
  <si>
    <r>
      <rPr>
        <sz val="11"/>
        <color theme="1"/>
        <rFont val="Meiryo UI"/>
        <family val="0"/>
        <charset val="1"/>
      </rPr>
      <t xml:space="preserve">※1</t>
    </r>
    <r>
      <rPr>
        <sz val="11"/>
        <color theme="1"/>
        <rFont val="Noto Sans CJK SC"/>
        <family val="2"/>
      </rPr>
      <t xml:space="preserve">年目実績の名刺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メール署名取込には、契約開始時および</t>
    </r>
    <r>
      <rPr>
        <sz val="11"/>
        <color theme="1"/>
        <rFont val="Meiryo UI"/>
        <family val="0"/>
        <charset val="1"/>
      </rPr>
      <t xml:space="preserve">ID</t>
    </r>
    <r>
      <rPr>
        <sz val="11"/>
        <color theme="1"/>
        <rFont val="Noto Sans CJK SC"/>
        <family val="2"/>
      </rPr>
      <t xml:space="preserve">追加時に一括してデータ化した過去名刺</t>
    </r>
    <r>
      <rPr>
        <sz val="11"/>
        <color theme="1"/>
        <rFont val="Meiryo UI"/>
        <family val="0"/>
        <charset val="1"/>
      </rPr>
      <t xml:space="preserve">1,645</t>
    </r>
    <r>
      <rPr>
        <sz val="11"/>
        <color theme="1"/>
        <rFont val="Noto Sans CJK SC"/>
        <family val="2"/>
      </rPr>
      <t xml:space="preserve">枚を含む。</t>
    </r>
  </si>
  <si>
    <r>
      <rPr>
        <sz val="11"/>
        <color theme="1"/>
        <rFont val="Noto Sans CJK SC"/>
        <family val="2"/>
      </rPr>
      <t xml:space="preserve">※名刺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メール署名取込に要する時間として、当初計画では</t>
    </r>
    <r>
      <rPr>
        <sz val="11"/>
        <color theme="1"/>
        <rFont val="Meiryo UI"/>
        <family val="0"/>
        <charset val="1"/>
      </rPr>
      <t xml:space="preserve">3.6</t>
    </r>
    <r>
      <rPr>
        <sz val="11"/>
        <color theme="1"/>
        <rFont val="Noto Sans CJK SC"/>
        <family val="2"/>
      </rPr>
      <t xml:space="preserve">分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枚としていたのに対し、実測を踏まえ</t>
    </r>
    <r>
      <rPr>
        <sz val="11"/>
        <color theme="1"/>
        <rFont val="Meiryo UI"/>
        <family val="0"/>
        <charset val="1"/>
      </rPr>
      <t xml:space="preserve">5</t>
    </r>
    <r>
      <rPr>
        <sz val="11"/>
        <color theme="1"/>
        <rFont val="Noto Sans CJK SC"/>
        <family val="2"/>
      </rPr>
      <t xml:space="preserve">分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枚に修正した。</t>
    </r>
  </si>
  <si>
    <r>
      <rPr>
        <sz val="11"/>
        <color theme="1"/>
        <rFont val="Noto Sans CJK SC"/>
        <family val="2"/>
      </rPr>
      <t xml:space="preserve">※名刺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メール署名取込数は、当初計画</t>
    </r>
    <r>
      <rPr>
        <sz val="11"/>
        <color theme="1"/>
        <rFont val="Meiryo UI"/>
        <family val="0"/>
        <charset val="1"/>
      </rPr>
      <t xml:space="preserve">250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月に対し、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年目実績は新規交換分が</t>
    </r>
    <r>
      <rPr>
        <sz val="11"/>
        <color theme="1"/>
        <rFont val="Meiryo UI"/>
        <family val="0"/>
        <charset val="1"/>
      </rPr>
      <t xml:space="preserve">79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月。これに上記の過去名刺</t>
    </r>
    <r>
      <rPr>
        <sz val="11"/>
        <color theme="1"/>
        <rFont val="Meiryo UI"/>
        <family val="0"/>
        <charset val="1"/>
      </rPr>
      <t xml:space="preserve">1,645</t>
    </r>
    <r>
      <rPr>
        <sz val="11"/>
        <color theme="1"/>
        <rFont val="Noto Sans CJK SC"/>
        <family val="2"/>
      </rPr>
      <t xml:space="preserve">枚の一括データ化が加わり、処理総数は</t>
    </r>
    <r>
      <rPr>
        <sz val="11"/>
        <color theme="1"/>
        <rFont val="Meiryo UI"/>
        <family val="0"/>
        <charset val="1"/>
      </rPr>
      <t xml:space="preserve">2,480</t>
    </r>
    <r>
      <rPr>
        <sz val="11"/>
        <color theme="1"/>
        <rFont val="Noto Sans CJK SC"/>
        <family val="2"/>
      </rPr>
      <t xml:space="preserve">枚（月平均</t>
    </r>
    <r>
      <rPr>
        <sz val="11"/>
        <color theme="1"/>
        <rFont val="Meiryo UI"/>
        <family val="0"/>
        <charset val="1"/>
      </rPr>
      <t xml:space="preserve">236</t>
    </r>
    <r>
      <rPr>
        <sz val="11"/>
        <color theme="1"/>
        <rFont val="Noto Sans CJK SC"/>
        <family val="2"/>
      </rPr>
      <t xml:space="preserve">枚）となった。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年目計画は過去名刺を含まず</t>
    </r>
    <r>
      <rPr>
        <sz val="11"/>
        <color theme="1"/>
        <rFont val="Meiryo UI"/>
        <family val="0"/>
        <charset val="1"/>
      </rPr>
      <t xml:space="preserve">150</t>
    </r>
    <r>
      <rPr>
        <sz val="11"/>
        <color theme="1"/>
        <rFont val="Noto Sans CJK SC"/>
        <family val="2"/>
      </rPr>
      <t xml:space="preserve">枚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月として試算。</t>
    </r>
  </si>
  <si>
    <r>
      <rPr>
        <sz val="11"/>
        <color theme="1"/>
        <rFont val="Noto Sans CJK SC"/>
        <family val="2"/>
      </rPr>
      <t xml:space="preserve">※データ分析・</t>
    </r>
    <r>
      <rPr>
        <sz val="11"/>
        <color theme="1"/>
        <rFont val="Meiryo UI"/>
        <family val="0"/>
        <charset val="1"/>
      </rPr>
      <t xml:space="preserve">BI</t>
    </r>
    <r>
      <rPr>
        <sz val="11"/>
        <color theme="1"/>
        <rFont val="Noto Sans CJK SC"/>
        <family val="2"/>
      </rPr>
      <t xml:space="preserve">について、当初計画よりもデータ分析内製化に関する処理・加工の自動化が進んだため、より多くの手作業コストが削減された。</t>
    </r>
  </si>
  <si>
    <r>
      <rPr>
        <sz val="11"/>
        <color theme="1"/>
        <rFont val="Noto Sans CJK SC"/>
        <family val="2"/>
      </rPr>
      <t xml:space="preserve">※企業リスト作成は、京阪神中央卸売市場の出入り業者、結婚式場、フローリスト、百貨店など、法人見込客の開拓およびその前段の分析のために作成したもの。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年目実績はのべ</t>
    </r>
    <r>
      <rPr>
        <sz val="11"/>
        <color theme="1"/>
        <rFont val="Meiryo UI"/>
        <family val="0"/>
        <charset val="1"/>
      </rPr>
      <t xml:space="preserve">10,000</t>
    </r>
    <r>
      <rPr>
        <sz val="11"/>
        <color theme="1"/>
        <rFont val="Noto Sans CJK SC"/>
        <family val="2"/>
      </rPr>
      <t xml:space="preserve">社分。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社あたり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Noto Sans CJK SC"/>
        <family val="2"/>
      </rPr>
      <t xml:space="preserve">分（検索・転記）として算出した。人力では年間</t>
    </r>
    <r>
      <rPr>
        <sz val="11"/>
        <color theme="1"/>
        <rFont val="Meiryo UI"/>
        <family val="0"/>
        <charset val="1"/>
      </rPr>
      <t xml:space="preserve">500</t>
    </r>
    <r>
      <rPr>
        <sz val="11"/>
        <color theme="1"/>
        <rFont val="Noto Sans CJK SC"/>
        <family val="2"/>
      </rPr>
      <t xml:space="preserve">時間を要する規模であり、この開拓量は</t>
    </r>
    <r>
      <rPr>
        <sz val="11"/>
        <color theme="1"/>
        <rFont val="Meiryo UI"/>
        <family val="0"/>
        <charset val="1"/>
      </rPr>
      <t xml:space="preserve">Sansan</t>
    </r>
    <r>
      <rPr>
        <sz val="11"/>
        <color theme="1"/>
        <rFont val="Noto Sans CJK SC"/>
        <family val="2"/>
      </rPr>
      <t xml:space="preserve">の企業データベース（</t>
    </r>
    <r>
      <rPr>
        <sz val="11"/>
        <color theme="1"/>
        <rFont val="Meiryo UI"/>
        <family val="0"/>
        <charset val="1"/>
      </rPr>
      <t xml:space="preserve">3,381,941</t>
    </r>
    <r>
      <rPr>
        <sz val="11"/>
        <color theme="1"/>
        <rFont val="Noto Sans CJK SC"/>
        <family val="2"/>
      </rPr>
      <t xml:space="preserve">社を収録）によって初めて実現したものである。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Noto Sans CJK SC"/>
        <family val="2"/>
      </rPr>
      <t xml:space="preserve">年目は国内営業の拡張に伴い同量の作成を見込む。</t>
    </r>
  </si>
  <si>
    <r>
      <rPr>
        <sz val="11"/>
        <color theme="1"/>
        <rFont val="Noto Sans CJK SC"/>
        <family val="2"/>
      </rPr>
      <t xml:space="preserve">※各項目の時間は、月あたりを</t>
    </r>
    <r>
      <rPr>
        <sz val="11"/>
        <color theme="1"/>
        <rFont val="Meiryo UI"/>
        <family val="0"/>
        <charset val="1"/>
      </rPr>
      <t xml:space="preserve">0.5</t>
    </r>
    <r>
      <rPr>
        <sz val="11"/>
        <color theme="1"/>
        <rFont val="Noto Sans CJK SC"/>
        <family val="2"/>
      </rPr>
      <t xml:space="preserve">時間単位に丸めたうえで</t>
    </r>
    <r>
      <rPr>
        <sz val="11"/>
        <color theme="1"/>
        <rFont val="Meiryo UI"/>
        <family val="0"/>
        <charset val="1"/>
      </rPr>
      <t xml:space="preserve">12</t>
    </r>
    <r>
      <rPr>
        <sz val="11"/>
        <color theme="1"/>
        <rFont val="Noto Sans CJK SC"/>
        <family val="2"/>
      </rPr>
      <t xml:space="preserve">倍し、年間の総時間としている。金額換算はこの値に基づく。</t>
    </r>
  </si>
  <si>
    <r>
      <rPr>
        <sz val="11"/>
        <color theme="1"/>
        <rFont val="Noto Sans CJK SC"/>
        <family val="2"/>
      </rPr>
      <t xml:space="preserve">※時給はデータ分析・</t>
    </r>
    <r>
      <rPr>
        <sz val="11"/>
        <color theme="1"/>
        <rFont val="Meiryo UI"/>
        <family val="0"/>
        <charset val="1"/>
      </rPr>
      <t xml:space="preserve">BI</t>
    </r>
    <r>
      <rPr>
        <sz val="11"/>
        <color theme="1"/>
        <rFont val="Noto Sans CJK SC"/>
        <family val="2"/>
      </rPr>
      <t xml:space="preserve">を</t>
    </r>
    <r>
      <rPr>
        <sz val="11"/>
        <color theme="1"/>
        <rFont val="Meiryo UI"/>
        <family val="0"/>
        <charset val="1"/>
      </rPr>
      <t xml:space="preserve">4,000</t>
    </r>
    <r>
      <rPr>
        <sz val="11"/>
        <color theme="1"/>
        <rFont val="Noto Sans CJK SC"/>
        <family val="2"/>
      </rPr>
      <t xml:space="preserve">円、その他を</t>
    </r>
    <r>
      <rPr>
        <sz val="11"/>
        <color theme="1"/>
        <rFont val="Meiryo UI"/>
        <family val="0"/>
        <charset val="1"/>
      </rPr>
      <t xml:space="preserve">1,500</t>
    </r>
    <r>
      <rPr>
        <sz val="11"/>
        <color theme="1"/>
        <rFont val="Noto Sans CJK SC"/>
        <family val="2"/>
      </rPr>
      <t xml:space="preserve">円として試算している。</t>
    </r>
  </si>
  <si>
    <t xml:space="preserve">※区分は稟議本文の１〜４に対応する。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</si>
</sst>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&quot;時間&quot;"/>
    <numFmt numFmtId="166" formatCode="0&quot;千円&quot;"/>
    <numFmt numFmtId="167" formatCode="0&quot;時間&quot;;\-0&quot;時間&quot;;\－"/>
    <numFmt numFmtId="168" formatCode="0&quot;千円&quot;;\-0&quot;千円&quot;;\－"/>
  </numFmts>
  <fonts count="10">
    <font>
      <sz val="11"/>
      <color theme="1"/>
      <name val="Meiryo UI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3"/>
      <charset val="128"/>
    </font>
    <font>
      <sz val="11"/>
      <color theme="1"/>
      <name val="Meiryo UI"/>
      <family val="2"/>
    </font>
    <font>
      <sz val="11"/>
      <color theme="1"/>
      <name val="Meiryo UI"/>
      <family val="0"/>
      <charset val="1"/>
    </font>
    <font>
      <b val="true"/>
      <sz val="11"/>
      <color theme="1"/>
      <name val="Meiryo UI"/>
      <family val="2"/>
    </font>
    <font>
      <sz val="11"/>
      <name val="Meiryo UI"/>
      <family val="0"/>
      <charset val="1"/>
    </font>
    <font>
      <b val="true"/>
      <sz val="11"/>
      <color theme="1"/>
      <name val="Meiryo U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8.80078125" defaultRowHeight="18" zeroHeight="false" outlineLevelRow="0" outlineLevelCol="0"/>
  <cols>
    <col collapsed="false" customWidth="true" hidden="false" outlineLevel="0" max="1" min="1" style="1" width="28.1"/>
    <col collapsed="false" customWidth="true" hidden="false" outlineLevel="0" max="2" min="2" style="1" width="11.6"/>
    <col collapsed="false" customWidth="true" hidden="false" outlineLevel="0" max="3" min="3" style="1" width="11.3"/>
    <col collapsed="false" customWidth="true" hidden="false" outlineLevel="0" max="4" min="4" style="1" width="12.4"/>
    <col collapsed="false" customWidth="true" hidden="false" outlineLevel="0" max="5" min="5" style="1" width="9.6"/>
    <col collapsed="false" customWidth="true" hidden="false" outlineLevel="0" max="6" min="6" style="1" width="12.4"/>
    <col collapsed="false" customWidth="true" hidden="false" outlineLevel="0" max="7" min="7" style="1" width="9.6"/>
    <col collapsed="false" customWidth="false" hidden="false" outlineLevel="0" max="16384" min="8" style="1" width="8.8"/>
  </cols>
  <sheetData>
    <row r="1" customFormat="false" ht="18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</row>
    <row r="2" customFormat="false" ht="18" hidden="false" customHeight="true" outlineLevel="0" collapsed="false">
      <c r="A2" s="4"/>
      <c r="B2" s="5" t="s">
        <v>1</v>
      </c>
      <c r="C2" s="5"/>
      <c r="D2" s="5" t="s">
        <v>2</v>
      </c>
      <c r="E2" s="5"/>
      <c r="F2" s="5" t="s">
        <v>3</v>
      </c>
      <c r="G2" s="5"/>
      <c r="H2" s="3"/>
    </row>
    <row r="3" customFormat="false" ht="18" hidden="false" customHeight="true" outlineLevel="0" collapsed="false">
      <c r="A3" s="4"/>
      <c r="B3" s="5" t="s">
        <v>4</v>
      </c>
      <c r="C3" s="5" t="s">
        <v>5</v>
      </c>
      <c r="D3" s="5" t="s">
        <v>4</v>
      </c>
      <c r="E3" s="5" t="s">
        <v>5</v>
      </c>
      <c r="F3" s="5" t="s">
        <v>4</v>
      </c>
      <c r="G3" s="5" t="s">
        <v>5</v>
      </c>
      <c r="H3" s="3"/>
    </row>
    <row r="4" customFormat="false" ht="18" hidden="false" customHeight="true" outlineLevel="0" collapsed="false">
      <c r="A4" s="6" t="s">
        <v>6</v>
      </c>
      <c r="B4" s="6"/>
      <c r="C4" s="6"/>
      <c r="D4" s="6"/>
      <c r="E4" s="6"/>
      <c r="F4" s="6"/>
      <c r="G4" s="6"/>
      <c r="H4" s="7"/>
    </row>
    <row r="5" customFormat="false" ht="18" hidden="false" customHeight="true" outlineLevel="0" collapsed="false">
      <c r="A5" s="8" t="s">
        <v>7</v>
      </c>
      <c r="B5" s="9" t="n">
        <v>180</v>
      </c>
      <c r="C5" s="10" t="n">
        <f aca="false">B5*1500/1000</f>
        <v>270</v>
      </c>
      <c r="D5" s="9" t="n">
        <v>234</v>
      </c>
      <c r="E5" s="10" t="n">
        <f aca="false">D5*1500/1000</f>
        <v>351</v>
      </c>
      <c r="F5" s="9" t="n">
        <v>150</v>
      </c>
      <c r="G5" s="10" t="n">
        <f aca="false">F5*1500/1000</f>
        <v>225</v>
      </c>
      <c r="H5" s="7"/>
    </row>
    <row r="6" customFormat="false" ht="18" hidden="false" customHeight="true" outlineLevel="0" collapsed="false">
      <c r="A6" s="11" t="s">
        <v>8</v>
      </c>
      <c r="B6" s="12" t="n">
        <v>60</v>
      </c>
      <c r="C6" s="13" t="n">
        <f aca="false">B6*1500/1000</f>
        <v>90</v>
      </c>
      <c r="D6" s="12" t="n">
        <v>0</v>
      </c>
      <c r="E6" s="13" t="n">
        <f aca="false">D6*1500/1000</f>
        <v>0</v>
      </c>
      <c r="F6" s="12" t="n">
        <v>60</v>
      </c>
      <c r="G6" s="13" t="n">
        <f aca="false">F6*1500/1000</f>
        <v>90</v>
      </c>
      <c r="H6" s="7"/>
    </row>
    <row r="7" customFormat="false" ht="18" hidden="false" customHeight="true" outlineLevel="0" collapsed="false">
      <c r="A7" s="14" t="s">
        <v>9</v>
      </c>
      <c r="B7" s="15" t="n">
        <f aca="false">SUM(B5:B6)</f>
        <v>240</v>
      </c>
      <c r="C7" s="16" t="n">
        <f aca="false">SUM(C5:C6)</f>
        <v>360</v>
      </c>
      <c r="D7" s="15" t="n">
        <f aca="false">SUM(D5:D6)</f>
        <v>234</v>
      </c>
      <c r="E7" s="16" t="n">
        <f aca="false">SUM(E5:E6)</f>
        <v>351</v>
      </c>
      <c r="F7" s="15" t="n">
        <f aca="false">SUM(F5:F6)</f>
        <v>210</v>
      </c>
      <c r="G7" s="16" t="n">
        <f aca="false">SUM(G5:G6)</f>
        <v>315</v>
      </c>
      <c r="H7" s="7"/>
    </row>
    <row r="8" customFormat="false" ht="18" hidden="false" customHeight="true" outlineLevel="0" collapsed="false">
      <c r="A8" s="6" t="s">
        <v>10</v>
      </c>
      <c r="B8" s="6"/>
      <c r="C8" s="6"/>
      <c r="D8" s="6"/>
      <c r="E8" s="6"/>
      <c r="F8" s="6"/>
      <c r="G8" s="6"/>
      <c r="H8" s="7"/>
    </row>
    <row r="9" customFormat="false" ht="18" hidden="false" customHeight="true" outlineLevel="0" collapsed="false">
      <c r="A9" s="8" t="s">
        <v>11</v>
      </c>
      <c r="B9" s="9" t="n">
        <v>24</v>
      </c>
      <c r="C9" s="10" t="n">
        <f aca="false">B9*1500/1000</f>
        <v>36</v>
      </c>
      <c r="D9" s="9" t="n">
        <v>24</v>
      </c>
      <c r="E9" s="10" t="n">
        <f aca="false">D9*1500/1000</f>
        <v>36</v>
      </c>
      <c r="F9" s="9" t="n">
        <v>24</v>
      </c>
      <c r="G9" s="10" t="n">
        <f aca="false">F9*1500/1000</f>
        <v>36</v>
      </c>
      <c r="H9" s="7"/>
    </row>
    <row r="10" customFormat="false" ht="18" hidden="false" customHeight="true" outlineLevel="0" collapsed="false">
      <c r="A10" s="8" t="s">
        <v>12</v>
      </c>
      <c r="B10" s="9" t="n">
        <v>60</v>
      </c>
      <c r="C10" s="10" t="n">
        <f aca="false">B10*1500/1000</f>
        <v>90</v>
      </c>
      <c r="D10" s="9" t="n">
        <v>60</v>
      </c>
      <c r="E10" s="10" t="n">
        <f aca="false">D10*1500/1000</f>
        <v>90</v>
      </c>
      <c r="F10" s="9" t="n">
        <v>60</v>
      </c>
      <c r="G10" s="10" t="n">
        <f aca="false">F10*1500/1000</f>
        <v>90</v>
      </c>
      <c r="H10" s="7"/>
    </row>
    <row r="11" customFormat="false" ht="18" hidden="false" customHeight="true" outlineLevel="0" collapsed="false">
      <c r="A11" s="8" t="s">
        <v>13</v>
      </c>
      <c r="B11" s="9" t="n">
        <v>60</v>
      </c>
      <c r="C11" s="10" t="n">
        <f aca="false">B11*1500/1000</f>
        <v>90</v>
      </c>
      <c r="D11" s="9" t="n">
        <v>54</v>
      </c>
      <c r="E11" s="10" t="n">
        <f aca="false">D11*1500/1000</f>
        <v>81</v>
      </c>
      <c r="F11" s="9" t="n">
        <v>60</v>
      </c>
      <c r="G11" s="10" t="n">
        <f aca="false">F11*1500/1000</f>
        <v>90</v>
      </c>
      <c r="H11" s="7"/>
    </row>
    <row r="12" customFormat="false" ht="18" hidden="false" customHeight="true" outlineLevel="0" collapsed="false">
      <c r="A12" s="17" t="s">
        <v>14</v>
      </c>
      <c r="B12" s="12" t="n">
        <v>36</v>
      </c>
      <c r="C12" s="13" t="n">
        <f aca="false">B12*4000/1000</f>
        <v>144</v>
      </c>
      <c r="D12" s="12" t="n">
        <v>60</v>
      </c>
      <c r="E12" s="13" t="n">
        <f aca="false">D12*4000/1000</f>
        <v>240</v>
      </c>
      <c r="F12" s="12" t="n">
        <v>60</v>
      </c>
      <c r="G12" s="13" t="n">
        <f aca="false">F12*4000/1000</f>
        <v>240</v>
      </c>
      <c r="H12" s="7"/>
    </row>
    <row r="13" customFormat="false" ht="18" hidden="false" customHeight="true" outlineLevel="0" collapsed="false">
      <c r="A13" s="14" t="s">
        <v>9</v>
      </c>
      <c r="B13" s="15" t="n">
        <f aca="false">SUM(B9:B12)</f>
        <v>180</v>
      </c>
      <c r="C13" s="16" t="n">
        <f aca="false">SUM(C9:C12)</f>
        <v>360</v>
      </c>
      <c r="D13" s="15" t="n">
        <f aca="false">SUM(D9:D12)</f>
        <v>198</v>
      </c>
      <c r="E13" s="16" t="n">
        <f aca="false">SUM(E9:E12)</f>
        <v>447</v>
      </c>
      <c r="F13" s="15" t="n">
        <f aca="false">SUM(F9:F12)</f>
        <v>204</v>
      </c>
      <c r="G13" s="16" t="n">
        <f aca="false">SUM(G9:G12)</f>
        <v>456</v>
      </c>
      <c r="H13" s="7"/>
    </row>
    <row r="14" customFormat="false" ht="18" hidden="false" customHeight="true" outlineLevel="0" collapsed="false">
      <c r="A14" s="6" t="s">
        <v>15</v>
      </c>
      <c r="B14" s="6"/>
      <c r="C14" s="6"/>
      <c r="D14" s="6"/>
      <c r="E14" s="6"/>
      <c r="F14" s="6"/>
      <c r="G14" s="6"/>
      <c r="H14" s="7"/>
    </row>
    <row r="15" customFormat="false" ht="18" hidden="false" customHeight="true" outlineLevel="0" collapsed="false">
      <c r="A15" s="17" t="s">
        <v>16</v>
      </c>
      <c r="B15" s="12" t="n">
        <v>120</v>
      </c>
      <c r="C15" s="13" t="n">
        <f aca="false">B15*1500/1000</f>
        <v>180</v>
      </c>
      <c r="D15" s="12" t="n">
        <v>0</v>
      </c>
      <c r="E15" s="13" t="n">
        <f aca="false">D15*1500/1000</f>
        <v>0</v>
      </c>
      <c r="F15" s="12" t="n">
        <v>120</v>
      </c>
      <c r="G15" s="13" t="n">
        <f aca="false">F15*1500/1000</f>
        <v>180</v>
      </c>
      <c r="H15" s="7"/>
    </row>
    <row r="16" customFormat="false" ht="18" hidden="false" customHeight="true" outlineLevel="0" collapsed="false">
      <c r="A16" s="14" t="s">
        <v>9</v>
      </c>
      <c r="B16" s="15" t="n">
        <f aca="false">SUM(B15:B15)</f>
        <v>120</v>
      </c>
      <c r="C16" s="16" t="n">
        <f aca="false">SUM(C15:C15)</f>
        <v>180</v>
      </c>
      <c r="D16" s="15" t="n">
        <f aca="false">SUM(D15:D15)</f>
        <v>0</v>
      </c>
      <c r="E16" s="16" t="n">
        <f aca="false">SUM(E15:E15)</f>
        <v>0</v>
      </c>
      <c r="F16" s="15" t="n">
        <f aca="false">SUM(F15:F15)</f>
        <v>120</v>
      </c>
      <c r="G16" s="16" t="n">
        <f aca="false">SUM(G15:G15)</f>
        <v>180</v>
      </c>
      <c r="H16" s="7"/>
    </row>
    <row r="17" customFormat="false" ht="18" hidden="false" customHeight="true" outlineLevel="0" collapsed="false">
      <c r="A17" s="6" t="s">
        <v>17</v>
      </c>
      <c r="B17" s="6"/>
      <c r="C17" s="6"/>
      <c r="D17" s="6"/>
      <c r="E17" s="6"/>
      <c r="F17" s="6"/>
      <c r="G17" s="6"/>
      <c r="H17" s="7"/>
    </row>
    <row r="18" customFormat="false" ht="18" hidden="false" customHeight="true" outlineLevel="0" collapsed="false">
      <c r="A18" s="17" t="s">
        <v>18</v>
      </c>
      <c r="B18" s="18" t="n">
        <v>0</v>
      </c>
      <c r="C18" s="19" t="n">
        <f aca="false">B18*1500/1000</f>
        <v>0</v>
      </c>
      <c r="D18" s="12" t="n">
        <v>498</v>
      </c>
      <c r="E18" s="13" t="n">
        <f aca="false">D18*1500/1000</f>
        <v>747</v>
      </c>
      <c r="F18" s="12" t="n">
        <v>498</v>
      </c>
      <c r="G18" s="13" t="n">
        <f aca="false">F18*1500/1000</f>
        <v>747</v>
      </c>
      <c r="H18" s="7"/>
    </row>
    <row r="19" customFormat="false" ht="18" hidden="false" customHeight="true" outlineLevel="0" collapsed="false">
      <c r="A19" s="14" t="s">
        <v>9</v>
      </c>
      <c r="B19" s="20" t="n">
        <f aca="false">SUM(B18:B18)</f>
        <v>0</v>
      </c>
      <c r="C19" s="21" t="n">
        <f aca="false">SUM(C18:C18)</f>
        <v>0</v>
      </c>
      <c r="D19" s="15" t="n">
        <f aca="false">SUM(D18:D18)</f>
        <v>498</v>
      </c>
      <c r="E19" s="16" t="n">
        <f aca="false">SUM(E18:E18)</f>
        <v>747</v>
      </c>
      <c r="F19" s="15" t="n">
        <f aca="false">SUM(F18:F18)</f>
        <v>498</v>
      </c>
      <c r="G19" s="16" t="n">
        <f aca="false">SUM(G18:G18)</f>
        <v>747</v>
      </c>
      <c r="H19" s="7"/>
    </row>
    <row r="20" customFormat="false" ht="18" hidden="false" customHeight="true" outlineLevel="0" collapsed="false">
      <c r="A20" s="8" t="s">
        <v>19</v>
      </c>
      <c r="B20" s="9" t="n">
        <f aca="false">B7+B13+B16+B19</f>
        <v>540</v>
      </c>
      <c r="C20" s="10" t="n">
        <f aca="false">C7+C13+C16+C19</f>
        <v>900</v>
      </c>
      <c r="D20" s="9" t="n">
        <f aca="false">D7+D13+D16+D19</f>
        <v>930</v>
      </c>
      <c r="E20" s="10" t="n">
        <f aca="false">E7+E13+E16+E19</f>
        <v>1545</v>
      </c>
      <c r="F20" s="9" t="n">
        <f aca="false">F7+F13+F16+F19</f>
        <v>1032</v>
      </c>
      <c r="G20" s="10" t="n">
        <f aca="false">G7+G13+G16+G19</f>
        <v>1698</v>
      </c>
      <c r="H20" s="7"/>
    </row>
    <row r="21" customFormat="false" ht="18" hidden="false" customHeight="true" outlineLevel="0" collapsed="false">
      <c r="A21" s="8" t="s">
        <v>20</v>
      </c>
      <c r="B21" s="10" t="n">
        <v>690</v>
      </c>
      <c r="C21" s="10"/>
      <c r="D21" s="10" t="n">
        <v>690</v>
      </c>
      <c r="E21" s="10"/>
      <c r="F21" s="10" t="n">
        <v>690</v>
      </c>
      <c r="G21" s="10"/>
      <c r="H21" s="7"/>
    </row>
    <row r="22" customFormat="false" ht="18" hidden="false" customHeight="true" outlineLevel="0" collapsed="false">
      <c r="A22" s="8" t="s">
        <v>21</v>
      </c>
      <c r="B22" s="22" t="n">
        <f aca="false">C20-$B21</f>
        <v>210</v>
      </c>
      <c r="C22" s="22"/>
      <c r="D22" s="22" t="n">
        <f aca="false">E20-$B21</f>
        <v>855</v>
      </c>
      <c r="E22" s="22"/>
      <c r="F22" s="22" t="n">
        <f aca="false">G20-$B21</f>
        <v>1008</v>
      </c>
      <c r="G22" s="22"/>
      <c r="H22" s="7"/>
    </row>
    <row r="23" customFormat="false" ht="18" hidden="false" customHeight="true" outlineLevel="0" collapsed="false">
      <c r="A23" s="7"/>
      <c r="B23" s="7"/>
      <c r="C23" s="7"/>
      <c r="D23" s="7"/>
      <c r="E23" s="7"/>
      <c r="F23" s="7"/>
      <c r="G23" s="7"/>
      <c r="H23" s="7"/>
    </row>
    <row r="24" customFormat="false" ht="18" hidden="false" customHeight="true" outlineLevel="0" collapsed="false">
      <c r="A24" s="23" t="s">
        <v>22</v>
      </c>
      <c r="B24" s="7"/>
      <c r="C24" s="7"/>
      <c r="D24" s="7"/>
      <c r="E24" s="7"/>
      <c r="F24" s="7"/>
      <c r="G24" s="7"/>
      <c r="H24" s="7"/>
    </row>
    <row r="25" customFormat="false" ht="18" hidden="false" customHeight="true" outlineLevel="0" collapsed="false">
      <c r="A25" s="2" t="s">
        <v>23</v>
      </c>
      <c r="B25" s="7"/>
      <c r="C25" s="7"/>
      <c r="D25" s="7"/>
      <c r="E25" s="7"/>
      <c r="F25" s="7"/>
      <c r="G25" s="7"/>
      <c r="H25" s="7"/>
    </row>
    <row r="26" customFormat="false" ht="18" hidden="false" customHeight="true" outlineLevel="0" collapsed="false">
      <c r="A26" s="2" t="s">
        <v>24</v>
      </c>
      <c r="B26" s="7"/>
      <c r="C26" s="7"/>
      <c r="D26" s="7"/>
      <c r="E26" s="7"/>
      <c r="F26" s="7"/>
      <c r="G26" s="7"/>
      <c r="H26" s="7"/>
    </row>
    <row r="27" customFormat="false" ht="18" hidden="false" customHeight="true" outlineLevel="0" collapsed="false">
      <c r="A27" s="2" t="s">
        <v>25</v>
      </c>
    </row>
    <row r="28" customFormat="false" ht="18" hidden="false" customHeight="true" outlineLevel="0" collapsed="false">
      <c r="A28" s="2" t="s">
        <v>26</v>
      </c>
    </row>
    <row r="29" customFormat="false" ht="18" hidden="false" customHeight="true" outlineLevel="0" collapsed="false">
      <c r="A29" s="2" t="s">
        <v>27</v>
      </c>
    </row>
    <row r="30" customFormat="false" ht="18" hidden="false" customHeight="true" outlineLevel="0" collapsed="false">
      <c r="A30" s="2" t="s">
        <v>28</v>
      </c>
    </row>
    <row r="31" customFormat="false" ht="18" hidden="false" customHeight="true" outlineLevel="0" collapsed="false">
      <c r="A31" s="2" t="s">
        <v>29</v>
      </c>
    </row>
  </sheetData>
  <mergeCells count="14">
    <mergeCell ref="A2:A3"/>
    <mergeCell ref="B2:C2"/>
    <mergeCell ref="D2:E2"/>
    <mergeCell ref="F2:G2"/>
    <mergeCell ref="A4:G4"/>
    <mergeCell ref="A8:G8"/>
    <mergeCell ref="A14:G14"/>
    <mergeCell ref="A17:G17"/>
    <mergeCell ref="B21:C21"/>
    <mergeCell ref="D21:E21"/>
    <mergeCell ref="F21:G21"/>
    <mergeCell ref="B22:C22"/>
    <mergeCell ref="D22:E22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2026-08-19T07:10:32Z</dcterms:created>
  <dc:creator>大阪ＳＮＪ新日本海商事</dc:creator>
  <dc:description/>
  <dc:language>en-US</dc:language>
  <cp:lastModifiedBy>大阪ＳＮＪ新日本海商事</cp:lastModifiedBy>
  <cp:lastPrinted>2026-08-19T08:07:17Z</cp:lastPrinted>
  <dcterms:modified xsi:type="dcterms:W3CDTF">2026-08-26T06:46:22Z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